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subig\Documents\CIS3710\"/>
    </mc:Choice>
  </mc:AlternateContent>
  <xr:revisionPtr revIDLastSave="0" documentId="13_ncr:1_{F7690F7D-59A4-45D6-B655-6BB3636BFBB4}" xr6:coauthVersionLast="47" xr6:coauthVersionMax="47" xr10:uidLastSave="{00000000-0000-0000-0000-000000000000}"/>
  <bookViews>
    <workbookView xWindow="-110" yWindow="-110" windowWidth="19420" windowHeight="11500" activeTab="2" xr2:uid="{E1472F4B-1E0A-4E16-B0AB-D8DD7BE021CD}"/>
  </bookViews>
  <sheets>
    <sheet name="Seasonality_Pattern" sheetId="12" r:id="rId1"/>
    <sheet name="Quantitative" sheetId="1" r:id="rId2"/>
    <sheet name="Classification_model" sheetId="13" r:id="rId3"/>
    <sheet name="Seasonality Pattern-Quantitativ" sheetId="3" r:id="rId4"/>
    <sheet name="US Travel destination-Qualitati" sheetId="5" r:id="rId5"/>
    <sheet name="Word Frequency Analysis" sheetId="9" r:id="rId6"/>
    <sheet name="Sheet4" sheetId="7" state="hidden" r:id="rId7"/>
  </sheets>
  <definedNames>
    <definedName name="_xlnm._FilterDatabase" localSheetId="1" hidden="1">Quantitative!$A$1:$V$250</definedName>
    <definedName name="_xlnm._FilterDatabase" localSheetId="6" hidden="1">Sheet4!$A$1:$A$96</definedName>
  </definedNames>
  <calcPr calcId="191029"/>
  <pivotCaches>
    <pivotCache cacheId="0" r:id="rId8"/>
    <pivotCache cacheId="1" r:id="rId9"/>
    <pivotCache cacheId="2"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1" i="13" l="1"/>
  <c r="I251" i="13"/>
  <c r="M2" i="13"/>
  <c r="M3" i="1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M246" i="13"/>
  <c r="M247" i="13"/>
  <c r="M248" i="13"/>
  <c r="M249" i="13"/>
  <c r="M250" i="13"/>
  <c r="L2" i="13"/>
  <c r="L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6" i="13"/>
  <c r="L47" i="13"/>
  <c r="L48" i="13"/>
  <c r="L49" i="13"/>
  <c r="L50" i="13"/>
  <c r="L51" i="13"/>
  <c r="L52"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1" i="13"/>
  <c r="L92" i="13"/>
  <c r="L93" i="13"/>
  <c r="L94" i="13"/>
  <c r="L95" i="13"/>
  <c r="L96" i="13"/>
  <c r="L97" i="13"/>
  <c r="L98" i="13"/>
  <c r="L99" i="13"/>
  <c r="L100" i="13"/>
  <c r="L101" i="13"/>
  <c r="L102" i="13"/>
  <c r="L103" i="13"/>
  <c r="L104" i="13"/>
  <c r="L105" i="13"/>
  <c r="L106" i="13"/>
  <c r="L107" i="13"/>
  <c r="L108" i="13"/>
  <c r="L109" i="13"/>
  <c r="L110" i="13"/>
  <c r="L111" i="13"/>
  <c r="L112" i="13"/>
  <c r="L113" i="13"/>
  <c r="L114" i="13"/>
  <c r="L115" i="13"/>
  <c r="L116" i="13"/>
  <c r="L117" i="13"/>
  <c r="L118" i="13"/>
  <c r="L119" i="13"/>
  <c r="L120" i="13"/>
  <c r="L121" i="13"/>
  <c r="L122" i="13"/>
  <c r="L123" i="13"/>
  <c r="L124" i="13"/>
  <c r="L125" i="13"/>
  <c r="L126" i="13"/>
  <c r="L127" i="13"/>
  <c r="L128" i="13"/>
  <c r="L129" i="13"/>
  <c r="L130" i="13"/>
  <c r="L131" i="13"/>
  <c r="L132" i="13"/>
  <c r="L133" i="13"/>
  <c r="L134" i="13"/>
  <c r="L135" i="13"/>
  <c r="L136" i="13"/>
  <c r="L137" i="13"/>
  <c r="L138" i="13"/>
  <c r="L139" i="13"/>
  <c r="L140" i="13"/>
  <c r="L141" i="13"/>
  <c r="L142" i="13"/>
  <c r="L143" i="13"/>
  <c r="L144" i="13"/>
  <c r="L145" i="13"/>
  <c r="L146" i="13"/>
  <c r="L147" i="13"/>
  <c r="L148" i="13"/>
  <c r="L149" i="13"/>
  <c r="L150" i="13"/>
  <c r="L151" i="13"/>
  <c r="L152" i="13"/>
  <c r="L153" i="13"/>
  <c r="L154" i="13"/>
  <c r="L155" i="13"/>
  <c r="L156" i="13"/>
  <c r="L157" i="13"/>
  <c r="L158" i="13"/>
  <c r="L159" i="13"/>
  <c r="L160" i="13"/>
  <c r="L161" i="13"/>
  <c r="L162" i="13"/>
  <c r="L163" i="13"/>
  <c r="L164" i="13"/>
  <c r="L165" i="13"/>
  <c r="L166" i="13"/>
  <c r="L167" i="13"/>
  <c r="L168" i="13"/>
  <c r="L169" i="13"/>
  <c r="L170" i="13"/>
  <c r="L171" i="13"/>
  <c r="L172" i="13"/>
  <c r="L173" i="13"/>
  <c r="L174" i="13"/>
  <c r="L175" i="13"/>
  <c r="L176" i="13"/>
  <c r="L177" i="13"/>
  <c r="L178" i="13"/>
  <c r="L179" i="13"/>
  <c r="L180" i="13"/>
  <c r="L181" i="13"/>
  <c r="L182" i="13"/>
  <c r="L183" i="13"/>
  <c r="L184" i="13"/>
  <c r="L185" i="13"/>
  <c r="L186" i="13"/>
  <c r="L187" i="13"/>
  <c r="L188" i="13"/>
  <c r="L189" i="13"/>
  <c r="L190" i="13"/>
  <c r="L191" i="13"/>
  <c r="L192" i="13"/>
  <c r="L193" i="13"/>
  <c r="L194" i="13"/>
  <c r="L195" i="13"/>
  <c r="L196" i="13"/>
  <c r="L197" i="13"/>
  <c r="L198" i="13"/>
  <c r="L199" i="13"/>
  <c r="L200" i="13"/>
  <c r="L201" i="13"/>
  <c r="L202" i="13"/>
  <c r="L203" i="13"/>
  <c r="L204" i="13"/>
  <c r="L205" i="13"/>
  <c r="L206" i="13"/>
  <c r="L207" i="13"/>
  <c r="L208" i="13"/>
  <c r="L209" i="13"/>
  <c r="L210" i="13"/>
  <c r="L211" i="13"/>
  <c r="L212" i="13"/>
  <c r="L213" i="13"/>
  <c r="L214" i="13"/>
  <c r="L215" i="13"/>
  <c r="L216" i="13"/>
  <c r="L217" i="13"/>
  <c r="L218" i="13"/>
  <c r="L219" i="13"/>
  <c r="L220" i="13"/>
  <c r="L221" i="13"/>
  <c r="L222" i="13"/>
  <c r="L223" i="13"/>
  <c r="L224" i="13"/>
  <c r="L225" i="13"/>
  <c r="L226" i="13"/>
  <c r="L227" i="13"/>
  <c r="L228" i="13"/>
  <c r="L229" i="13"/>
  <c r="L230" i="13"/>
  <c r="L231" i="13"/>
  <c r="L232" i="13"/>
  <c r="L233" i="13"/>
  <c r="L234" i="13"/>
  <c r="L235" i="13"/>
  <c r="L236" i="13"/>
  <c r="L237" i="13"/>
  <c r="L238" i="13"/>
  <c r="L239" i="13"/>
  <c r="L240" i="13"/>
  <c r="L241" i="13"/>
  <c r="L242" i="13"/>
  <c r="L243" i="13"/>
  <c r="L244" i="13"/>
  <c r="L245" i="13"/>
  <c r="L246" i="13"/>
  <c r="L247" i="13"/>
  <c r="L248" i="13"/>
  <c r="L249" i="13"/>
  <c r="L250" i="13"/>
  <c r="K2" i="13"/>
  <c r="K3"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G251" i="1"/>
  <c r="H8" i="13" s="1"/>
  <c r="C251" i="13"/>
  <c r="H2" i="13"/>
  <c r="H3" i="13"/>
  <c r="H4" i="13"/>
  <c r="H5" i="13"/>
  <c r="H6" i="13"/>
  <c r="H7"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G3" i="13"/>
  <c r="G4" i="13"/>
  <c r="G9" i="13"/>
  <c r="G10" i="13"/>
  <c r="G11" i="13"/>
  <c r="G12" i="13"/>
  <c r="G17" i="13"/>
  <c r="G18" i="13"/>
  <c r="G19" i="13"/>
  <c r="G20" i="13"/>
  <c r="G25" i="13"/>
  <c r="G26" i="13"/>
  <c r="G27" i="13"/>
  <c r="G28" i="13"/>
  <c r="G33" i="13"/>
  <c r="G34" i="13"/>
  <c r="G35" i="13"/>
  <c r="G36" i="13"/>
  <c r="G41" i="13"/>
  <c r="G42" i="13"/>
  <c r="G43" i="13"/>
  <c r="G44" i="13"/>
  <c r="G49" i="13"/>
  <c r="G50" i="13"/>
  <c r="G51" i="13"/>
  <c r="G52" i="13"/>
  <c r="G57" i="13"/>
  <c r="G58" i="13"/>
  <c r="G59" i="13"/>
  <c r="G60" i="13"/>
  <c r="G65" i="13"/>
  <c r="G66" i="13"/>
  <c r="G67" i="13"/>
  <c r="G68" i="13"/>
  <c r="G73" i="13"/>
  <c r="G74" i="13"/>
  <c r="G75" i="13"/>
  <c r="G76" i="13"/>
  <c r="G81" i="13"/>
  <c r="G82" i="13"/>
  <c r="G83" i="13"/>
  <c r="G84" i="13"/>
  <c r="G89" i="13"/>
  <c r="G90" i="13"/>
  <c r="G91" i="13"/>
  <c r="G92" i="13"/>
  <c r="G97" i="13"/>
  <c r="G98" i="13"/>
  <c r="G99" i="13"/>
  <c r="G100" i="13"/>
  <c r="G105" i="13"/>
  <c r="G106" i="13"/>
  <c r="G107" i="13"/>
  <c r="G108" i="13"/>
  <c r="G113" i="13"/>
  <c r="G114" i="13"/>
  <c r="G115" i="13"/>
  <c r="G116" i="13"/>
  <c r="G121" i="13"/>
  <c r="G122" i="13"/>
  <c r="G123" i="13"/>
  <c r="G124" i="13"/>
  <c r="G129" i="13"/>
  <c r="G130" i="13"/>
  <c r="I130" i="13" s="1"/>
  <c r="G131" i="13"/>
  <c r="G132" i="13"/>
  <c r="G137" i="13"/>
  <c r="G138" i="13"/>
  <c r="G139" i="13"/>
  <c r="G140" i="13"/>
  <c r="G145" i="13"/>
  <c r="G146" i="13"/>
  <c r="G147" i="13"/>
  <c r="G148" i="13"/>
  <c r="G153" i="13"/>
  <c r="G154" i="13"/>
  <c r="G155" i="13"/>
  <c r="G156" i="13"/>
  <c r="G161" i="13"/>
  <c r="G162" i="13"/>
  <c r="G163" i="13"/>
  <c r="G164" i="13"/>
  <c r="G169" i="13"/>
  <c r="G170" i="13"/>
  <c r="G171" i="13"/>
  <c r="G172" i="13"/>
  <c r="G177" i="13"/>
  <c r="G178" i="13"/>
  <c r="G179" i="13"/>
  <c r="G180" i="13"/>
  <c r="G185" i="13"/>
  <c r="G186" i="13"/>
  <c r="I186" i="13" s="1"/>
  <c r="G187" i="13"/>
  <c r="I187" i="13" s="1"/>
  <c r="G188" i="13"/>
  <c r="G193" i="13"/>
  <c r="G194" i="13"/>
  <c r="G195" i="13"/>
  <c r="G196" i="13"/>
  <c r="G201" i="13"/>
  <c r="G202" i="13"/>
  <c r="G203" i="13"/>
  <c r="G204" i="13"/>
  <c r="G209" i="13"/>
  <c r="G210" i="13"/>
  <c r="G211" i="13"/>
  <c r="G212" i="13"/>
  <c r="G217" i="13"/>
  <c r="G218" i="13"/>
  <c r="G219" i="13"/>
  <c r="G220" i="13"/>
  <c r="G225" i="13"/>
  <c r="G226" i="13"/>
  <c r="G227" i="13"/>
  <c r="G228" i="13"/>
  <c r="G233" i="13"/>
  <c r="G234" i="13"/>
  <c r="G235" i="13"/>
  <c r="G236" i="13"/>
  <c r="G241" i="13"/>
  <c r="G242" i="13"/>
  <c r="G243" i="13"/>
  <c r="G244" i="13"/>
  <c r="G249" i="13"/>
  <c r="G250" i="13"/>
  <c r="D2" i="1"/>
  <c r="G2" i="13" s="1"/>
  <c r="D3" i="1"/>
  <c r="D4" i="1"/>
  <c r="D5" i="1"/>
  <c r="G5" i="13" s="1"/>
  <c r="D6" i="1"/>
  <c r="G6" i="13" s="1"/>
  <c r="D7" i="1"/>
  <c r="G7" i="13" s="1"/>
  <c r="D8" i="1"/>
  <c r="G8" i="13" s="1"/>
  <c r="D9" i="1"/>
  <c r="D10" i="1"/>
  <c r="D11" i="1"/>
  <c r="D12" i="1"/>
  <c r="D13" i="1"/>
  <c r="G13" i="13" s="1"/>
  <c r="D14" i="1"/>
  <c r="G14" i="13" s="1"/>
  <c r="D15" i="1"/>
  <c r="G15" i="13" s="1"/>
  <c r="D16" i="1"/>
  <c r="G16" i="13" s="1"/>
  <c r="D17" i="1"/>
  <c r="D18" i="1"/>
  <c r="D19" i="1"/>
  <c r="D20" i="1"/>
  <c r="D21" i="1"/>
  <c r="G21" i="13" s="1"/>
  <c r="D22" i="1"/>
  <c r="G22" i="13" s="1"/>
  <c r="D23" i="1"/>
  <c r="G23" i="13" s="1"/>
  <c r="D24" i="1"/>
  <c r="G24" i="13" s="1"/>
  <c r="D25" i="1"/>
  <c r="D26" i="1"/>
  <c r="D27" i="1"/>
  <c r="D28" i="1"/>
  <c r="D29" i="1"/>
  <c r="G29" i="13" s="1"/>
  <c r="D30" i="1"/>
  <c r="G30" i="13" s="1"/>
  <c r="D31" i="1"/>
  <c r="G31" i="13" s="1"/>
  <c r="D32" i="1"/>
  <c r="G32" i="13" s="1"/>
  <c r="D33" i="1"/>
  <c r="D34" i="1"/>
  <c r="D35" i="1"/>
  <c r="D36" i="1"/>
  <c r="D37" i="1"/>
  <c r="G37" i="13" s="1"/>
  <c r="D38" i="1"/>
  <c r="G38" i="13" s="1"/>
  <c r="D39" i="1"/>
  <c r="G39" i="13" s="1"/>
  <c r="D40" i="1"/>
  <c r="G40" i="13" s="1"/>
  <c r="D41" i="1"/>
  <c r="D42" i="1"/>
  <c r="D43" i="1"/>
  <c r="D44" i="1"/>
  <c r="D45" i="1"/>
  <c r="G45" i="13" s="1"/>
  <c r="D46" i="1"/>
  <c r="G46" i="13" s="1"/>
  <c r="D47" i="1"/>
  <c r="G47" i="13" s="1"/>
  <c r="D48" i="1"/>
  <c r="G48" i="13" s="1"/>
  <c r="D49" i="1"/>
  <c r="D50" i="1"/>
  <c r="D51" i="1"/>
  <c r="D52" i="1"/>
  <c r="D53" i="1"/>
  <c r="G53" i="13" s="1"/>
  <c r="D54" i="1"/>
  <c r="G54" i="13" s="1"/>
  <c r="D55" i="1"/>
  <c r="G55" i="13" s="1"/>
  <c r="D56" i="1"/>
  <c r="G56" i="13" s="1"/>
  <c r="D57" i="1"/>
  <c r="D58" i="1"/>
  <c r="D59" i="1"/>
  <c r="D60" i="1"/>
  <c r="D61" i="1"/>
  <c r="G61" i="13" s="1"/>
  <c r="D62" i="1"/>
  <c r="G62" i="13" s="1"/>
  <c r="D63" i="1"/>
  <c r="G63" i="13" s="1"/>
  <c r="D64" i="1"/>
  <c r="G64" i="13" s="1"/>
  <c r="D65" i="1"/>
  <c r="D66" i="1"/>
  <c r="D67" i="1"/>
  <c r="D68" i="1"/>
  <c r="D69" i="1"/>
  <c r="G69" i="13" s="1"/>
  <c r="D70" i="1"/>
  <c r="G70" i="13" s="1"/>
  <c r="D71" i="1"/>
  <c r="G71" i="13" s="1"/>
  <c r="D72" i="1"/>
  <c r="G72" i="13" s="1"/>
  <c r="D73" i="1"/>
  <c r="D74" i="1"/>
  <c r="D75" i="1"/>
  <c r="D76" i="1"/>
  <c r="D77" i="1"/>
  <c r="G77" i="13" s="1"/>
  <c r="D78" i="1"/>
  <c r="G78" i="13" s="1"/>
  <c r="D79" i="1"/>
  <c r="G79" i="13" s="1"/>
  <c r="D80" i="1"/>
  <c r="G80" i="13" s="1"/>
  <c r="D81" i="1"/>
  <c r="D82" i="1"/>
  <c r="D83" i="1"/>
  <c r="D84" i="1"/>
  <c r="D85" i="1"/>
  <c r="G85" i="13" s="1"/>
  <c r="D86" i="1"/>
  <c r="G86" i="13" s="1"/>
  <c r="D87" i="1"/>
  <c r="G87" i="13" s="1"/>
  <c r="D88" i="1"/>
  <c r="G88" i="13" s="1"/>
  <c r="D89" i="1"/>
  <c r="D90" i="1"/>
  <c r="D91" i="1"/>
  <c r="D92" i="1"/>
  <c r="D93" i="1"/>
  <c r="G93" i="13" s="1"/>
  <c r="D94" i="1"/>
  <c r="G94" i="13" s="1"/>
  <c r="D95" i="1"/>
  <c r="G95" i="13" s="1"/>
  <c r="D96" i="1"/>
  <c r="G96" i="13" s="1"/>
  <c r="D97" i="1"/>
  <c r="D98" i="1"/>
  <c r="D99" i="1"/>
  <c r="D100" i="1"/>
  <c r="D101" i="1"/>
  <c r="G101" i="13" s="1"/>
  <c r="D102" i="1"/>
  <c r="G102" i="13" s="1"/>
  <c r="D103" i="1"/>
  <c r="G103" i="13" s="1"/>
  <c r="D104" i="1"/>
  <c r="G104" i="13" s="1"/>
  <c r="D105" i="1"/>
  <c r="D106" i="1"/>
  <c r="D107" i="1"/>
  <c r="D108" i="1"/>
  <c r="D109" i="1"/>
  <c r="G109" i="13" s="1"/>
  <c r="D110" i="1"/>
  <c r="G110" i="13" s="1"/>
  <c r="D111" i="1"/>
  <c r="G111" i="13" s="1"/>
  <c r="D112" i="1"/>
  <c r="G112" i="13" s="1"/>
  <c r="D113" i="1"/>
  <c r="D114" i="1"/>
  <c r="D115" i="1"/>
  <c r="D116" i="1"/>
  <c r="D117" i="1"/>
  <c r="G117" i="13" s="1"/>
  <c r="D118" i="1"/>
  <c r="G118" i="13" s="1"/>
  <c r="D119" i="1"/>
  <c r="G119" i="13" s="1"/>
  <c r="D120" i="1"/>
  <c r="G120" i="13" s="1"/>
  <c r="D121" i="1"/>
  <c r="D122" i="1"/>
  <c r="D123" i="1"/>
  <c r="D124" i="1"/>
  <c r="D125" i="1"/>
  <c r="G125" i="13" s="1"/>
  <c r="D126" i="1"/>
  <c r="G126" i="13" s="1"/>
  <c r="D127" i="1"/>
  <c r="G127" i="13" s="1"/>
  <c r="D128" i="1"/>
  <c r="G128" i="13" s="1"/>
  <c r="D129" i="1"/>
  <c r="D130" i="1"/>
  <c r="D131" i="1"/>
  <c r="D132" i="1"/>
  <c r="D133" i="1"/>
  <c r="G133" i="13" s="1"/>
  <c r="D134" i="1"/>
  <c r="G134" i="13" s="1"/>
  <c r="D135" i="1"/>
  <c r="G135" i="13" s="1"/>
  <c r="D136" i="1"/>
  <c r="G136" i="13" s="1"/>
  <c r="D137" i="1"/>
  <c r="D138" i="1"/>
  <c r="D139" i="1"/>
  <c r="D140" i="1"/>
  <c r="D141" i="1"/>
  <c r="G141" i="13" s="1"/>
  <c r="D142" i="1"/>
  <c r="G142" i="13" s="1"/>
  <c r="D143" i="1"/>
  <c r="G143" i="13" s="1"/>
  <c r="D144" i="1"/>
  <c r="G144" i="13" s="1"/>
  <c r="D145" i="1"/>
  <c r="D146" i="1"/>
  <c r="D147" i="1"/>
  <c r="D148" i="1"/>
  <c r="D149" i="1"/>
  <c r="G149" i="13" s="1"/>
  <c r="D150" i="1"/>
  <c r="G150" i="13" s="1"/>
  <c r="D151" i="1"/>
  <c r="G151" i="13" s="1"/>
  <c r="D152" i="1"/>
  <c r="G152" i="13" s="1"/>
  <c r="D153" i="1"/>
  <c r="D154" i="1"/>
  <c r="D155" i="1"/>
  <c r="D156" i="1"/>
  <c r="D157" i="1"/>
  <c r="G157" i="13" s="1"/>
  <c r="D158" i="1"/>
  <c r="G158" i="13" s="1"/>
  <c r="D159" i="1"/>
  <c r="G159" i="13" s="1"/>
  <c r="D160" i="1"/>
  <c r="G160" i="13" s="1"/>
  <c r="D161" i="1"/>
  <c r="D162" i="1"/>
  <c r="D163" i="1"/>
  <c r="D164" i="1"/>
  <c r="D165" i="1"/>
  <c r="G165" i="13" s="1"/>
  <c r="D166" i="1"/>
  <c r="G166" i="13" s="1"/>
  <c r="D167" i="1"/>
  <c r="G167" i="13" s="1"/>
  <c r="D168" i="1"/>
  <c r="G168" i="13" s="1"/>
  <c r="D169" i="1"/>
  <c r="D170" i="1"/>
  <c r="D171" i="1"/>
  <c r="D172" i="1"/>
  <c r="D173" i="1"/>
  <c r="G173" i="13" s="1"/>
  <c r="D174" i="1"/>
  <c r="G174" i="13" s="1"/>
  <c r="D175" i="1"/>
  <c r="G175" i="13" s="1"/>
  <c r="D176" i="1"/>
  <c r="G176" i="13" s="1"/>
  <c r="D177" i="1"/>
  <c r="D178" i="1"/>
  <c r="D179" i="1"/>
  <c r="D180" i="1"/>
  <c r="D181" i="1"/>
  <c r="G181" i="13" s="1"/>
  <c r="D182" i="1"/>
  <c r="G182" i="13" s="1"/>
  <c r="D183" i="1"/>
  <c r="G183" i="13" s="1"/>
  <c r="D184" i="1"/>
  <c r="G184" i="13" s="1"/>
  <c r="D185" i="1"/>
  <c r="D186" i="1"/>
  <c r="D187" i="1"/>
  <c r="D188" i="1"/>
  <c r="D189" i="1"/>
  <c r="G189" i="13" s="1"/>
  <c r="D190" i="1"/>
  <c r="G190" i="13" s="1"/>
  <c r="D191" i="1"/>
  <c r="G191" i="13" s="1"/>
  <c r="D192" i="1"/>
  <c r="G192" i="13" s="1"/>
  <c r="D193" i="1"/>
  <c r="D194" i="1"/>
  <c r="D195" i="1"/>
  <c r="D196" i="1"/>
  <c r="D197" i="1"/>
  <c r="G197" i="13" s="1"/>
  <c r="D198" i="1"/>
  <c r="G198" i="13" s="1"/>
  <c r="D199" i="1"/>
  <c r="G199" i="13" s="1"/>
  <c r="D200" i="1"/>
  <c r="G200" i="13" s="1"/>
  <c r="D201" i="1"/>
  <c r="D202" i="1"/>
  <c r="D203" i="1"/>
  <c r="D204" i="1"/>
  <c r="D205" i="1"/>
  <c r="G205" i="13" s="1"/>
  <c r="D206" i="1"/>
  <c r="G206" i="13" s="1"/>
  <c r="D207" i="1"/>
  <c r="G207" i="13" s="1"/>
  <c r="D208" i="1"/>
  <c r="G208" i="13" s="1"/>
  <c r="D209" i="1"/>
  <c r="D210" i="1"/>
  <c r="D211" i="1"/>
  <c r="D212" i="1"/>
  <c r="D213" i="1"/>
  <c r="G213" i="13" s="1"/>
  <c r="D214" i="1"/>
  <c r="G214" i="13" s="1"/>
  <c r="D215" i="1"/>
  <c r="G215" i="13" s="1"/>
  <c r="D216" i="1"/>
  <c r="G216" i="13" s="1"/>
  <c r="D217" i="1"/>
  <c r="D218" i="1"/>
  <c r="D219" i="1"/>
  <c r="D220" i="1"/>
  <c r="D221" i="1"/>
  <c r="G221" i="13" s="1"/>
  <c r="D222" i="1"/>
  <c r="G222" i="13" s="1"/>
  <c r="D223" i="1"/>
  <c r="G223" i="13" s="1"/>
  <c r="D224" i="1"/>
  <c r="G224" i="13" s="1"/>
  <c r="D225" i="1"/>
  <c r="D226" i="1"/>
  <c r="D227" i="1"/>
  <c r="D228" i="1"/>
  <c r="D229" i="1"/>
  <c r="G229" i="13" s="1"/>
  <c r="D230" i="1"/>
  <c r="G230" i="13" s="1"/>
  <c r="D231" i="1"/>
  <c r="G231" i="13" s="1"/>
  <c r="D232" i="1"/>
  <c r="G232" i="13" s="1"/>
  <c r="D233" i="1"/>
  <c r="D234" i="1"/>
  <c r="D235" i="1"/>
  <c r="D236" i="1"/>
  <c r="D237" i="1"/>
  <c r="G237" i="13" s="1"/>
  <c r="D238" i="1"/>
  <c r="G238" i="13" s="1"/>
  <c r="D239" i="1"/>
  <c r="G239" i="13" s="1"/>
  <c r="D240" i="1"/>
  <c r="G240" i="13" s="1"/>
  <c r="D241" i="1"/>
  <c r="D242" i="1"/>
  <c r="D243" i="1"/>
  <c r="D244" i="1"/>
  <c r="D245" i="1"/>
  <c r="G245" i="13" s="1"/>
  <c r="D246" i="1"/>
  <c r="G246" i="13" s="1"/>
  <c r="D247" i="1"/>
  <c r="G247" i="13" s="1"/>
  <c r="D248" i="1"/>
  <c r="G248" i="13" s="1"/>
  <c r="D249" i="1"/>
  <c r="D250" i="1"/>
  <c r="F250" i="13"/>
  <c r="F249" i="13"/>
  <c r="F248" i="13"/>
  <c r="F247" i="13"/>
  <c r="F246" i="13"/>
  <c r="F245" i="13"/>
  <c r="F244" i="13"/>
  <c r="F243" i="13"/>
  <c r="F242" i="13"/>
  <c r="F241" i="13"/>
  <c r="F240" i="13"/>
  <c r="F239" i="13"/>
  <c r="F238" i="13"/>
  <c r="F237" i="13"/>
  <c r="F236" i="13"/>
  <c r="F235" i="13"/>
  <c r="F234" i="13"/>
  <c r="F233" i="13"/>
  <c r="F232" i="13"/>
  <c r="F231" i="13"/>
  <c r="F230" i="13"/>
  <c r="F229" i="13"/>
  <c r="F228" i="13"/>
  <c r="F227" i="13"/>
  <c r="F226" i="13"/>
  <c r="F225" i="13"/>
  <c r="F224" i="13"/>
  <c r="F223" i="13"/>
  <c r="F222" i="13"/>
  <c r="F221" i="13"/>
  <c r="F220" i="13"/>
  <c r="F219" i="13"/>
  <c r="F218" i="13"/>
  <c r="F217" i="13"/>
  <c r="F216" i="13"/>
  <c r="F215" i="13"/>
  <c r="F214" i="13"/>
  <c r="F213" i="13"/>
  <c r="F212" i="13"/>
  <c r="F211" i="13"/>
  <c r="F210" i="13"/>
  <c r="F209" i="13"/>
  <c r="F208" i="13"/>
  <c r="F207" i="13"/>
  <c r="F206" i="13"/>
  <c r="F205" i="13"/>
  <c r="F204" i="13"/>
  <c r="F203" i="13"/>
  <c r="F202" i="13"/>
  <c r="F201" i="13"/>
  <c r="F200" i="13"/>
  <c r="F199" i="13"/>
  <c r="F198" i="13"/>
  <c r="F197" i="13"/>
  <c r="F196" i="13"/>
  <c r="F195" i="13"/>
  <c r="F194" i="13"/>
  <c r="F193" i="13"/>
  <c r="F192" i="13"/>
  <c r="F191" i="13"/>
  <c r="F190" i="13"/>
  <c r="F189" i="13"/>
  <c r="F188" i="13"/>
  <c r="F187" i="13"/>
  <c r="F186" i="13"/>
  <c r="F185" i="13"/>
  <c r="F184" i="13"/>
  <c r="F183" i="13"/>
  <c r="F182" i="13"/>
  <c r="F181" i="13"/>
  <c r="F180" i="13"/>
  <c r="F179" i="13"/>
  <c r="F178" i="13"/>
  <c r="F177" i="13"/>
  <c r="F176" i="13"/>
  <c r="F175" i="13"/>
  <c r="F174" i="13"/>
  <c r="F173" i="13"/>
  <c r="F172" i="13"/>
  <c r="F171" i="13"/>
  <c r="F170" i="13"/>
  <c r="F169" i="13"/>
  <c r="F168" i="13"/>
  <c r="F167" i="13"/>
  <c r="F166" i="13"/>
  <c r="F165" i="13"/>
  <c r="F164" i="13"/>
  <c r="F163" i="13"/>
  <c r="F162" i="13"/>
  <c r="F161" i="13"/>
  <c r="F160" i="13"/>
  <c r="F159" i="13"/>
  <c r="F158" i="13"/>
  <c r="F157" i="13"/>
  <c r="F156" i="13"/>
  <c r="F155" i="13"/>
  <c r="F154" i="13"/>
  <c r="F153" i="13"/>
  <c r="F152" i="13"/>
  <c r="F151" i="13"/>
  <c r="F150" i="13"/>
  <c r="F149" i="13"/>
  <c r="F148" i="13"/>
  <c r="F147" i="13"/>
  <c r="F146" i="13"/>
  <c r="F145" i="13"/>
  <c r="F144" i="13"/>
  <c r="F143" i="13"/>
  <c r="F142" i="13"/>
  <c r="F141" i="13"/>
  <c r="F140" i="13"/>
  <c r="F139" i="13"/>
  <c r="F138" i="13"/>
  <c r="F137" i="13"/>
  <c r="F136" i="13"/>
  <c r="F135" i="13"/>
  <c r="F134" i="13"/>
  <c r="F133" i="13"/>
  <c r="F132" i="13"/>
  <c r="F131" i="13"/>
  <c r="F130" i="13"/>
  <c r="F129" i="13"/>
  <c r="F128" i="13"/>
  <c r="F127" i="13"/>
  <c r="F126" i="13"/>
  <c r="F125" i="13"/>
  <c r="F124" i="13"/>
  <c r="F123" i="13"/>
  <c r="F122" i="13"/>
  <c r="F121" i="13"/>
  <c r="F120" i="13"/>
  <c r="F119" i="13"/>
  <c r="F118" i="13"/>
  <c r="F117" i="13"/>
  <c r="F116" i="13"/>
  <c r="F115" i="13"/>
  <c r="F114" i="13"/>
  <c r="F113" i="13"/>
  <c r="F112" i="13"/>
  <c r="F111" i="13"/>
  <c r="F110" i="13"/>
  <c r="F109" i="13"/>
  <c r="F108" i="13"/>
  <c r="F107" i="13"/>
  <c r="F106" i="13"/>
  <c r="F105" i="13"/>
  <c r="F104" i="13"/>
  <c r="F103" i="13"/>
  <c r="F102" i="13"/>
  <c r="F101" i="13"/>
  <c r="F100" i="13"/>
  <c r="F99" i="13"/>
  <c r="F98" i="13"/>
  <c r="F97" i="13"/>
  <c r="F96" i="13"/>
  <c r="F95" i="13"/>
  <c r="F94" i="13"/>
  <c r="F93" i="13"/>
  <c r="F92" i="13"/>
  <c r="F91" i="13"/>
  <c r="F90" i="13"/>
  <c r="F89" i="13"/>
  <c r="F88" i="13"/>
  <c r="F87" i="13"/>
  <c r="F86" i="13"/>
  <c r="F85" i="13"/>
  <c r="F84" i="13"/>
  <c r="F83" i="13"/>
  <c r="F82" i="13"/>
  <c r="F81" i="13"/>
  <c r="F80" i="13"/>
  <c r="F79" i="13"/>
  <c r="F78" i="13"/>
  <c r="F77" i="13"/>
  <c r="F76" i="13"/>
  <c r="F75" i="13"/>
  <c r="F74" i="13"/>
  <c r="F73" i="13"/>
  <c r="F72" i="13"/>
  <c r="F71" i="13"/>
  <c r="F70" i="13"/>
  <c r="F69" i="13"/>
  <c r="F68" i="13"/>
  <c r="F67" i="13"/>
  <c r="F66" i="13"/>
  <c r="F65" i="13"/>
  <c r="F64" i="13"/>
  <c r="F63" i="13"/>
  <c r="F62" i="13"/>
  <c r="F61" i="13"/>
  <c r="F60" i="13"/>
  <c r="F59" i="13"/>
  <c r="F58" i="13"/>
  <c r="F57" i="13"/>
  <c r="F56" i="13"/>
  <c r="F55" i="13"/>
  <c r="F54" i="13"/>
  <c r="F53" i="13"/>
  <c r="F52" i="13"/>
  <c r="F51" i="13"/>
  <c r="F50" i="13"/>
  <c r="F49" i="13"/>
  <c r="F48" i="13"/>
  <c r="F47" i="13"/>
  <c r="F46" i="13"/>
  <c r="F45" i="13"/>
  <c r="F44" i="13"/>
  <c r="F43" i="13"/>
  <c r="F42" i="13"/>
  <c r="F41" i="13"/>
  <c r="F40" i="13"/>
  <c r="F39" i="13"/>
  <c r="F38" i="13"/>
  <c r="F37" i="13"/>
  <c r="F36" i="13"/>
  <c r="F35" i="13"/>
  <c r="F34" i="13"/>
  <c r="F33" i="13"/>
  <c r="F32" i="13"/>
  <c r="F31" i="13"/>
  <c r="F30" i="13"/>
  <c r="F29" i="13"/>
  <c r="F28" i="13"/>
  <c r="F27" i="13"/>
  <c r="F26" i="13"/>
  <c r="F25" i="13"/>
  <c r="F24" i="13"/>
  <c r="F23" i="13"/>
  <c r="F22" i="13"/>
  <c r="F21" i="13"/>
  <c r="F20" i="13"/>
  <c r="F19" i="13"/>
  <c r="F18" i="13"/>
  <c r="F17" i="13"/>
  <c r="F16" i="13"/>
  <c r="F15" i="13"/>
  <c r="F14" i="13"/>
  <c r="F13" i="13"/>
  <c r="F12" i="13"/>
  <c r="F11" i="13"/>
  <c r="F10" i="13"/>
  <c r="F9" i="13"/>
  <c r="F8" i="13"/>
  <c r="F7" i="13"/>
  <c r="F6" i="13"/>
  <c r="F5" i="13"/>
  <c r="F4" i="13"/>
  <c r="F3" i="13"/>
  <c r="F2" i="13"/>
  <c r="C24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 i="1"/>
  <c r="M2" i="5"/>
  <c r="J2" i="5"/>
  <c r="K3" i="5" s="1"/>
  <c r="K4" i="5"/>
  <c r="K5" i="5"/>
  <c r="K6" i="5"/>
  <c r="K7" i="5"/>
  <c r="K8" i="5"/>
  <c r="K9" i="5"/>
  <c r="K10" i="5"/>
  <c r="K11" i="5"/>
  <c r="K12" i="5"/>
  <c r="K13" i="5"/>
  <c r="K14" i="5"/>
  <c r="K15" i="5"/>
  <c r="K16" i="5"/>
  <c r="K17" i="5"/>
  <c r="K18" i="5"/>
  <c r="K19" i="5"/>
  <c r="K20" i="5"/>
  <c r="K21" i="5"/>
  <c r="K22" i="5"/>
  <c r="J3" i="5"/>
  <c r="J4" i="5"/>
  <c r="J5" i="5"/>
  <c r="J6" i="5"/>
  <c r="J7" i="5"/>
  <c r="J8" i="5"/>
  <c r="J9" i="5"/>
  <c r="J10" i="5"/>
  <c r="J11" i="5"/>
  <c r="J12" i="5"/>
  <c r="J13" i="5"/>
  <c r="J14" i="5"/>
  <c r="J15" i="5"/>
  <c r="J16" i="5"/>
  <c r="J17" i="5"/>
  <c r="J18" i="5"/>
  <c r="J19" i="5"/>
  <c r="J20" i="5"/>
  <c r="J21" i="5"/>
  <c r="I20" i="5"/>
  <c r="I21" i="5"/>
  <c r="I3" i="5"/>
  <c r="I4" i="5"/>
  <c r="I5" i="5"/>
  <c r="I6" i="5"/>
  <c r="I7" i="5"/>
  <c r="I8" i="5"/>
  <c r="I9" i="5"/>
  <c r="I10" i="5"/>
  <c r="I11" i="5"/>
  <c r="I12" i="5"/>
  <c r="I13" i="5"/>
  <c r="I14" i="5"/>
  <c r="I15" i="5"/>
  <c r="I16" i="5"/>
  <c r="I17" i="5"/>
  <c r="I18" i="5"/>
  <c r="I19" i="5"/>
  <c r="I2" i="5"/>
  <c r="E3" i="5"/>
  <c r="E4" i="5"/>
  <c r="E5" i="5"/>
  <c r="E6" i="5"/>
  <c r="E7" i="5"/>
  <c r="E8" i="5"/>
  <c r="E9" i="5"/>
  <c r="E10" i="5"/>
  <c r="E11" i="5"/>
  <c r="E12" i="5"/>
  <c r="E13" i="5"/>
  <c r="E14" i="5"/>
  <c r="E15" i="5"/>
  <c r="E16" i="5"/>
  <c r="E17" i="5"/>
  <c r="E18" i="5"/>
  <c r="E19" i="5"/>
  <c r="E20" i="5"/>
  <c r="E21" i="5"/>
  <c r="E2" i="5"/>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3"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 i="1"/>
  <c r="G253"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3" i="1"/>
  <c r="C244" i="1"/>
  <c r="C245" i="1"/>
  <c r="C246" i="1"/>
  <c r="C247" i="1"/>
  <c r="C248" i="1"/>
  <c r="C249" i="1"/>
  <c r="C250" i="1"/>
  <c r="C3" i="1"/>
  <c r="C4" i="1"/>
  <c r="C5" i="1"/>
  <c r="C6" i="1"/>
  <c r="C7" i="1"/>
  <c r="C8" i="1"/>
  <c r="C9" i="1"/>
  <c r="C10" i="1"/>
  <c r="C11" i="1"/>
  <c r="C2" i="1"/>
  <c r="B253" i="1"/>
  <c r="P2" i="13" l="1"/>
  <c r="P3" i="13"/>
  <c r="I234" i="13"/>
  <c r="I86" i="13"/>
  <c r="I106" i="13"/>
  <c r="I121" i="13"/>
  <c r="I138" i="13"/>
  <c r="I180" i="13"/>
  <c r="I194" i="13"/>
  <c r="I222" i="13"/>
  <c r="I236" i="13"/>
  <c r="I250" i="13"/>
  <c r="I34" i="13"/>
  <c r="I74" i="13"/>
  <c r="I107" i="13"/>
  <c r="I122" i="13"/>
  <c r="I139" i="13"/>
  <c r="I195" i="13"/>
  <c r="I237" i="13"/>
  <c r="I3" i="13"/>
  <c r="I90" i="13"/>
  <c r="I108" i="13"/>
  <c r="I140" i="13"/>
  <c r="I182" i="13"/>
  <c r="I196" i="13"/>
  <c r="I238" i="13"/>
  <c r="I4" i="13"/>
  <c r="I42" i="13"/>
  <c r="I58" i="13"/>
  <c r="I94" i="13"/>
  <c r="I109" i="13"/>
  <c r="I129" i="13"/>
  <c r="I141" i="13"/>
  <c r="I171" i="13"/>
  <c r="I185" i="13"/>
  <c r="I227" i="13"/>
  <c r="I241" i="13"/>
  <c r="I5" i="13"/>
  <c r="I116" i="13"/>
  <c r="I78" i="13"/>
  <c r="I202" i="13"/>
  <c r="I172" i="13"/>
  <c r="I110" i="13"/>
  <c r="I77" i="13"/>
  <c r="I193" i="13"/>
  <c r="I133" i="13"/>
  <c r="I100" i="13"/>
  <c r="I67" i="13"/>
  <c r="I162" i="13"/>
  <c r="I132" i="13"/>
  <c r="I99" i="13"/>
  <c r="I66" i="13"/>
  <c r="I235" i="13"/>
  <c r="I219" i="13"/>
  <c r="I203" i="13"/>
  <c r="I163" i="13"/>
  <c r="I155" i="13"/>
  <c r="I75" i="13"/>
  <c r="I43" i="13"/>
  <c r="I27" i="13"/>
  <c r="I226" i="13"/>
  <c r="I170" i="13"/>
  <c r="I98" i="13"/>
  <c r="I228" i="13"/>
  <c r="I20" i="13"/>
  <c r="I131" i="13"/>
  <c r="I19" i="13"/>
  <c r="I18" i="13"/>
  <c r="I52" i="13"/>
  <c r="I7" i="13"/>
  <c r="I15" i="13"/>
  <c r="I23" i="13"/>
  <c r="I31" i="13"/>
  <c r="I55" i="13"/>
  <c r="I63" i="13"/>
  <c r="I71" i="13"/>
  <c r="I79" i="13"/>
  <c r="I95" i="13"/>
  <c r="I127" i="13"/>
  <c r="I135" i="13"/>
  <c r="I143" i="13"/>
  <c r="I151" i="13"/>
  <c r="I159" i="13"/>
  <c r="I183" i="13"/>
  <c r="I191" i="13"/>
  <c r="I199" i="13"/>
  <c r="I207" i="13"/>
  <c r="I215" i="13"/>
  <c r="I223" i="13"/>
  <c r="I247" i="13"/>
  <c r="I8" i="13"/>
  <c r="I16" i="13"/>
  <c r="I32" i="13"/>
  <c r="I40" i="13"/>
  <c r="I64" i="13"/>
  <c r="I72" i="13"/>
  <c r="I80" i="13"/>
  <c r="I88" i="13"/>
  <c r="I96" i="13"/>
  <c r="I104" i="13"/>
  <c r="I128" i="13"/>
  <c r="I136" i="13"/>
  <c r="I144" i="13"/>
  <c r="I160" i="13"/>
  <c r="I168" i="13"/>
  <c r="I192" i="13"/>
  <c r="I200" i="13"/>
  <c r="I208" i="13"/>
  <c r="I216" i="13"/>
  <c r="I224" i="13"/>
  <c r="I232" i="13"/>
  <c r="I9" i="13"/>
  <c r="I17" i="13"/>
  <c r="I25" i="13"/>
  <c r="I33" i="13"/>
  <c r="I49" i="13"/>
  <c r="I243" i="13"/>
  <c r="I233" i="13"/>
  <c r="I221" i="13"/>
  <c r="I211" i="13"/>
  <c r="I201" i="13"/>
  <c r="I179" i="13"/>
  <c r="I169" i="13"/>
  <c r="I147" i="13"/>
  <c r="I125" i="13"/>
  <c r="I115" i="13"/>
  <c r="I105" i="13"/>
  <c r="I93" i="13"/>
  <c r="I83" i="13"/>
  <c r="I51" i="13"/>
  <c r="I37" i="13"/>
  <c r="I26" i="13"/>
  <c r="I12" i="13"/>
  <c r="O5" i="13"/>
  <c r="I242" i="13"/>
  <c r="I210" i="13"/>
  <c r="I198" i="13"/>
  <c r="I188" i="13"/>
  <c r="I178" i="13"/>
  <c r="I166" i="13"/>
  <c r="I156" i="13"/>
  <c r="I146" i="13"/>
  <c r="I134" i="13"/>
  <c r="I114" i="13"/>
  <c r="I102" i="13"/>
  <c r="I92" i="13"/>
  <c r="I82" i="13"/>
  <c r="I70" i="13"/>
  <c r="I50" i="13"/>
  <c r="I36" i="13"/>
  <c r="I22" i="13"/>
  <c r="I35" i="13"/>
  <c r="I11" i="13"/>
  <c r="I218" i="13"/>
  <c r="I154" i="13"/>
  <c r="I123" i="13"/>
  <c r="I113" i="13"/>
  <c r="I101" i="13"/>
  <c r="I91" i="13"/>
  <c r="I81" i="13"/>
  <c r="I59" i="13"/>
  <c r="I46" i="13"/>
  <c r="I21" i="13"/>
  <c r="I10" i="13"/>
  <c r="I6" i="13"/>
  <c r="I249" i="13"/>
  <c r="I225" i="13"/>
  <c r="I217" i="13"/>
  <c r="I209" i="13"/>
  <c r="I177" i="13"/>
  <c r="I161" i="13"/>
  <c r="I153" i="13"/>
  <c r="I145" i="13"/>
  <c r="I137" i="13"/>
  <c r="I97" i="13"/>
  <c r="I89" i="13"/>
  <c r="I239" i="13"/>
  <c r="I175" i="13"/>
  <c r="I119" i="13"/>
  <c r="I111" i="13"/>
  <c r="I103" i="13"/>
  <c r="I87" i="13"/>
  <c r="I47" i="13"/>
  <c r="I39" i="13"/>
  <c r="I205" i="13"/>
  <c r="I189" i="13"/>
  <c r="I173" i="13"/>
  <c r="I157" i="13"/>
  <c r="I85" i="13"/>
  <c r="I61" i="13"/>
  <c r="I53" i="13"/>
  <c r="I45" i="13"/>
  <c r="I29" i="13"/>
  <c r="I244" i="13"/>
  <c r="I220" i="13"/>
  <c r="I212" i="13"/>
  <c r="I204" i="13"/>
  <c r="I164" i="13"/>
  <c r="I148" i="13"/>
  <c r="I124" i="13"/>
  <c r="I84" i="13"/>
  <c r="I76" i="13"/>
  <c r="I68" i="13"/>
  <c r="I60" i="13"/>
  <c r="I44" i="13"/>
  <c r="I28" i="13"/>
  <c r="I73" i="13"/>
  <c r="I65" i="13"/>
  <c r="I57" i="13"/>
  <c r="I41" i="13"/>
  <c r="I248" i="13"/>
  <c r="I240" i="13"/>
  <c r="I184" i="13"/>
  <c r="I176" i="13"/>
  <c r="I152" i="13"/>
  <c r="I120" i="13"/>
  <c r="I112" i="13"/>
  <c r="I56" i="13"/>
  <c r="I48" i="13"/>
  <c r="I24" i="13"/>
  <c r="I231" i="13"/>
  <c r="I167" i="13"/>
  <c r="I246" i="13"/>
  <c r="I230" i="13"/>
  <c r="I214" i="13"/>
  <c r="I206" i="13"/>
  <c r="I190" i="13"/>
  <c r="I174" i="13"/>
  <c r="I158" i="13"/>
  <c r="I150" i="13"/>
  <c r="I142" i="13"/>
  <c r="I126" i="13"/>
  <c r="I118" i="13"/>
  <c r="I62" i="13"/>
  <c r="I54" i="13"/>
  <c r="I38" i="13"/>
  <c r="I30" i="13"/>
  <c r="I14" i="13"/>
  <c r="I245" i="13"/>
  <c r="I229" i="13"/>
  <c r="I213" i="13"/>
  <c r="I197" i="13"/>
  <c r="I181" i="13"/>
  <c r="I165" i="13"/>
  <c r="I149" i="13"/>
  <c r="I117" i="13"/>
  <c r="I69" i="13"/>
  <c r="I13" i="13"/>
  <c r="I2" i="13" l="1"/>
  <c r="O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tc={D04AF49B-1E5D-4274-93C0-C9B488F4D980}</author>
    <author>tc={75BB1EFE-94DB-42F4-85DA-30C3BC2001A2}</author>
  </authors>
  <commentList>
    <comment ref="D1" authorId="0" shapeId="0" xr:uid="{D04AF49B-1E5D-4274-93C0-C9B488F4D980}">
      <text>
        <t xml:space="preserve">[Threaded comment]
Your version of Excel allows you to read this threaded comment; however, any edits to it will get removed if the file is opened in a newer version of Excel. Learn more: https://go.microsoft.com/fwlink/?linkid=870924
Comment:
    clean binary label (0 or 1) </t>
      </text>
    </comment>
    <comment ref="H1" authorId="1" shapeId="0" xr:uid="{75BB1EFE-94DB-42F4-85DA-30C3BC2001A2}">
      <text>
        <t xml:space="preserve">[Threaded comment]
Your version of Excel allows you to read this threaded comment; however, any edits to it will get removed if the file is opened in a newer version of Excel. Learn more: https://go.microsoft.com/fwlink/?linkid=870924
Comment:
    Passenger count from the PREVIOUS month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tc={1BF894DF-342F-4ACD-AFDD-3D77B9C37C76}</author>
    <author>tc={A082B590-122B-42FB-AA2C-5D67E89136CB}</author>
    <author>tc={B32579DC-AB7F-4785-A854-0F1BCAB4BCBD}</author>
  </authors>
  <commentList>
    <comment ref="G1" authorId="0" shapeId="0" xr:uid="{1BF894DF-342F-4ACD-AFDD-3D77B9C37C76}">
      <text>
        <t xml:space="preserve">[Threaded comment]
Your version of Excel allows you to read this threaded comment; however, any edits to it will get removed if the file is opened in a newer version of Excel. Learn more: https://go.microsoft.com/fwlink/?linkid=870924
Comment:
    clean binary label (0 or 1) </t>
      </text>
    </comment>
    <comment ref="I251" authorId="1" shapeId="0" xr:uid="{A082B590-122B-42FB-AA2C-5D67E89136CB}">
      <text>
        <t xml:space="preserve">[Threaded comment]
Your version of Excel allows you to read this threaded comment; however, any edits to it will get removed if the file is opened in a newer version of Excel. Learn more: https://go.microsoft.com/fwlink/?linkid=870924
Comment:
    DT Accuracy </t>
      </text>
    </comment>
    <comment ref="L251" authorId="2" shapeId="0" xr:uid="{B32579DC-AB7F-4785-A854-0F1BCAB4BCBD}">
      <text>
        <t xml:space="preserve">[Threaded comment]
Your version of Excel allows you to read this threaded comment; however, any edits to it will get removed if the file is opened in a newer version of Excel. Learn more: https://go.microsoft.com/fwlink/?linkid=870924
Comment:
    LR Accuracy
</t>
      </text>
    </comment>
  </commentList>
</comments>
</file>

<file path=xl/sharedStrings.xml><?xml version="1.0" encoding="utf-8"?>
<sst xmlns="http://schemas.openxmlformats.org/spreadsheetml/2006/main" count="366" uniqueCount="217">
  <si>
    <t>Year</t>
  </si>
  <si>
    <t>Month</t>
  </si>
  <si>
    <t>Dom_Pax</t>
  </si>
  <si>
    <t>Int_Pax</t>
  </si>
  <si>
    <t>Pax</t>
  </si>
  <si>
    <t>Dom_Flt</t>
  </si>
  <si>
    <t>Int_Flt</t>
  </si>
  <si>
    <t>Flt</t>
  </si>
  <si>
    <t>Dom_RPM</t>
  </si>
  <si>
    <t>Int_RPM</t>
  </si>
  <si>
    <t>RPM</t>
  </si>
  <si>
    <t>Dom_ASM</t>
  </si>
  <si>
    <t>Int_ASM</t>
  </si>
  <si>
    <t>ASM</t>
  </si>
  <si>
    <t>Dom_LF</t>
  </si>
  <si>
    <t>Int_LF</t>
  </si>
  <si>
    <t>LF</t>
  </si>
  <si>
    <t>Season</t>
  </si>
  <si>
    <t>Pax=</t>
  </si>
  <si>
    <t>Check_Pax=</t>
  </si>
  <si>
    <t>High_Traffic</t>
  </si>
  <si>
    <t>Date</t>
  </si>
  <si>
    <t>Grand Total</t>
  </si>
  <si>
    <t>Row Labels</t>
  </si>
  <si>
    <t>Average of Pax</t>
  </si>
  <si>
    <t>Pax_Lag1</t>
  </si>
  <si>
    <t>Hollywood</t>
  </si>
  <si>
    <t>California</t>
  </si>
  <si>
    <t>Famous district in Los Angeles known as the entertainment capital of the world.</t>
  </si>
  <si>
    <t>Spring</t>
  </si>
  <si>
    <t>Walk of Fame, Hollywood Sign</t>
  </si>
  <si>
    <t>Moderate</t>
  </si>
  <si>
    <t>Times Square</t>
  </si>
  <si>
    <t>New York</t>
  </si>
  <si>
    <t>Bustling pedestrian intersection and major commercial hub.</t>
  </si>
  <si>
    <t>Winter</t>
  </si>
  <si>
    <t>Low</t>
  </si>
  <si>
    <t>Glacier National Park</t>
  </si>
  <si>
    <t>Montana</t>
  </si>
  <si>
    <t>Park known for its rugged mountains and alpine forests.</t>
  </si>
  <si>
    <t>Summer</t>
  </si>
  <si>
    <t>Going-to-the-Sun Road, Grinnell Glacier</t>
  </si>
  <si>
    <t>Zion National Park</t>
  </si>
  <si>
    <t>Utah</t>
  </si>
  <si>
    <t>Beautiful park known for its impressive canyons and towering cliffs.</t>
  </si>
  <si>
    <t>Spring, Fall</t>
  </si>
  <si>
    <t>The Narrows, Angels Landing</t>
  </si>
  <si>
    <t>Cape Cod</t>
  </si>
  <si>
    <t>Massachusetts</t>
  </si>
  <si>
    <t>Popular tourist destination known for its beaches and quaint towns.</t>
  </si>
  <si>
    <t>Nantucket Island, Cape Cod National Seashore</t>
  </si>
  <si>
    <t>Alcatraz Island</t>
  </si>
  <si>
    <t>Famed former prison island located in San Francisco Bay.</t>
  </si>
  <si>
    <t>Spring, Summer</t>
  </si>
  <si>
    <t>Cellhouse Tour, Alcatraz Lighthouse</t>
  </si>
  <si>
    <t>Gettysburg National Military Park</t>
  </si>
  <si>
    <t>Pennsylvania</t>
  </si>
  <si>
    <t>Historic site of a major Civil War battle.</t>
  </si>
  <si>
    <t>Gettysburg Museum, Battlefield Tours</t>
  </si>
  <si>
    <t>Statue of Liberty</t>
  </si>
  <si>
    <t>Iconic symbol of freedom and democracy in the United States.</t>
  </si>
  <si>
    <t>Ellis Island, Liberty Island Museum</t>
  </si>
  <si>
    <t>Yellowstone National Park</t>
  </si>
  <si>
    <t>Wyoming</t>
  </si>
  <si>
    <t>First national park in the world, known for geysers and wildlife.</t>
  </si>
  <si>
    <t>Old Faithful, Grand Prismatic Spring</t>
  </si>
  <si>
    <t>French Quarter</t>
  </si>
  <si>
    <t>Louisiana</t>
  </si>
  <si>
    <t>Historic district known for vibrant nightlife and colorful buildings.</t>
  </si>
  <si>
    <t>Bourbon Street, Jackson Square</t>
  </si>
  <si>
    <t>Mount Rushmore</t>
  </si>
  <si>
    <t>South Dakota</t>
  </si>
  <si>
    <t>Monument featuring sculptures of four U.S. presidents.</t>
  </si>
  <si>
    <t>Presidential Trail, Lincoln Borglum Visitor Center</t>
  </si>
  <si>
    <t>Niagara Falls</t>
  </si>
  <si>
    <t>Famous waterfalls on the U.S.-Canada border.</t>
  </si>
  <si>
    <t>Summer, Fall</t>
  </si>
  <si>
    <t>Maid of the Mist, Observation Tower</t>
  </si>
  <si>
    <t>Central Park</t>
  </si>
  <si>
    <t>Urban park in the heart of Manhattan.</t>
  </si>
  <si>
    <t>Fall</t>
  </si>
  <si>
    <t>Bethesda Terrace, Central Park Zoo</t>
  </si>
  <si>
    <t>Grand Canyon</t>
  </si>
  <si>
    <t>Arizona</t>
  </si>
  <si>
    <t>Massive canyon carved by the Colorado River.</t>
  </si>
  <si>
    <t>South Rim, Bright Angel Trail</t>
  </si>
  <si>
    <t>Walt Disney World</t>
  </si>
  <si>
    <t>Florida</t>
  </si>
  <si>
    <t>World-famous theme park and resort complex.</t>
  </si>
  <si>
    <t>Magic Kingdom, EPCOT</t>
  </si>
  <si>
    <t>High</t>
  </si>
  <si>
    <t>Golden Gate Bridge</t>
  </si>
  <si>
    <t>Iconic suspension bridge in San Francisco.</t>
  </si>
  <si>
    <t>Bridge Walk, Vista Point</t>
  </si>
  <si>
    <t>Space Needle</t>
  </si>
  <si>
    <t>Washington</t>
  </si>
  <si>
    <t>Observation tower offering panoramic views of Seattle.</t>
  </si>
  <si>
    <t>Observation Deck, Seattle Center</t>
  </si>
  <si>
    <t>Arches National Park</t>
  </si>
  <si>
    <t>Park known for natural sandstone arches.</t>
  </si>
  <si>
    <t>Delicate Arch, Landscape Arch</t>
  </si>
  <si>
    <t>Everglades National Park</t>
  </si>
  <si>
    <t>Vast wetlands with unique wildlife and ecosystems.</t>
  </si>
  <si>
    <t>Anhinga Trail, Shark Valley</t>
  </si>
  <si>
    <t>Lake Tahoe</t>
  </si>
  <si>
    <t>Large freshwater lake in the Sierra Nevada Mountains.</t>
  </si>
  <si>
    <t>Winter, Summer</t>
  </si>
  <si>
    <t>Emerald Bay, Ski Resorts</t>
  </si>
  <si>
    <t>Place</t>
  </si>
  <si>
    <t>State</t>
  </si>
  <si>
    <t>Description</t>
  </si>
  <si>
    <t>Best_season_to_visit</t>
  </si>
  <si>
    <t>Attractions</t>
  </si>
  <si>
    <t>Budget</t>
  </si>
  <si>
    <t>User_ratings</t>
  </si>
  <si>
    <t>Broadway Theaters, New Year’s Eve Ball Drop</t>
  </si>
  <si>
    <t>Full_Text</t>
  </si>
  <si>
    <t>Clean_Text</t>
  </si>
  <si>
    <t>Text_NoStopwords</t>
  </si>
  <si>
    <t>Column1</t>
  </si>
  <si>
    <t>famous</t>
  </si>
  <si>
    <t>district</t>
  </si>
  <si>
    <t>los</t>
  </si>
  <si>
    <t>angeles</t>
  </si>
  <si>
    <t>known</t>
  </si>
  <si>
    <t>as</t>
  </si>
  <si>
    <t>entertainment</t>
  </si>
  <si>
    <t>capital</t>
  </si>
  <si>
    <t>world</t>
  </si>
  <si>
    <t>walk</t>
  </si>
  <si>
    <t>fame</t>
  </si>
  <si>
    <t>hollywood</t>
  </si>
  <si>
    <t>sign</t>
  </si>
  <si>
    <t>broadway</t>
  </si>
  <si>
    <t>theaters</t>
  </si>
  <si>
    <t>new</t>
  </si>
  <si>
    <t>year’s</t>
  </si>
  <si>
    <t>eve</t>
  </si>
  <si>
    <t>ball</t>
  </si>
  <si>
    <t>drop</t>
  </si>
  <si>
    <t>going-to-the-sun</t>
  </si>
  <si>
    <t>road</t>
  </si>
  <si>
    <t>grinnell</t>
  </si>
  <si>
    <t>glacier</t>
  </si>
  <si>
    <t>the</t>
  </si>
  <si>
    <t>narrows</t>
  </si>
  <si>
    <t>angels</t>
  </si>
  <si>
    <t>landing</t>
  </si>
  <si>
    <t>nantucket</t>
  </si>
  <si>
    <t>island</t>
  </si>
  <si>
    <t>cape</t>
  </si>
  <si>
    <t>cod</t>
  </si>
  <si>
    <t>national</t>
  </si>
  <si>
    <t>seashore</t>
  </si>
  <si>
    <t>cellhouse</t>
  </si>
  <si>
    <t>tour</t>
  </si>
  <si>
    <t>alcatraz</t>
  </si>
  <si>
    <t>lighthouse</t>
  </si>
  <si>
    <t>gettysburg</t>
  </si>
  <si>
    <t>museum</t>
  </si>
  <si>
    <t>battlefield</t>
  </si>
  <si>
    <t>tours</t>
  </si>
  <si>
    <t>ellis</t>
  </si>
  <si>
    <t>liberty</t>
  </si>
  <si>
    <t>old</t>
  </si>
  <si>
    <t>faithful</t>
  </si>
  <si>
    <t>grand</t>
  </si>
  <si>
    <t>prismatic</t>
  </si>
  <si>
    <t>spring</t>
  </si>
  <si>
    <t>bourbon</t>
  </si>
  <si>
    <t>street</t>
  </si>
  <si>
    <t>jackson</t>
  </si>
  <si>
    <t>square</t>
  </si>
  <si>
    <t>presidential</t>
  </si>
  <si>
    <t>trail</t>
  </si>
  <si>
    <t>lincoln</t>
  </si>
  <si>
    <t>borglum</t>
  </si>
  <si>
    <t>visitor</t>
  </si>
  <si>
    <t>center</t>
  </si>
  <si>
    <t>maid</t>
  </si>
  <si>
    <t>mist</t>
  </si>
  <si>
    <t>observation</t>
  </si>
  <si>
    <t>tower</t>
  </si>
  <si>
    <t>bethesda</t>
  </si>
  <si>
    <t>terrace</t>
  </si>
  <si>
    <t>central</t>
  </si>
  <si>
    <t>park</t>
  </si>
  <si>
    <t>zoo</t>
  </si>
  <si>
    <t>south</t>
  </si>
  <si>
    <t>rim</t>
  </si>
  <si>
    <t>bright</t>
  </si>
  <si>
    <t>angel</t>
  </si>
  <si>
    <t>magic</t>
  </si>
  <si>
    <t>kingdom</t>
  </si>
  <si>
    <t>epcot</t>
  </si>
  <si>
    <t>bridge</t>
  </si>
  <si>
    <t>vista</t>
  </si>
  <si>
    <t>point</t>
  </si>
  <si>
    <t>deck</t>
  </si>
  <si>
    <t>seattle</t>
  </si>
  <si>
    <t>delicate</t>
  </si>
  <si>
    <t>arch</t>
  </si>
  <si>
    <t>landscape</t>
  </si>
  <si>
    <t>anhinga</t>
  </si>
  <si>
    <t>shark</t>
  </si>
  <si>
    <t>valley</t>
  </si>
  <si>
    <t>Count of Column1</t>
  </si>
  <si>
    <t>Season2</t>
  </si>
  <si>
    <t>Count of High_Traffic</t>
  </si>
  <si>
    <t>DT_Prediction</t>
  </si>
  <si>
    <t xml:space="preserve">DT_Correct </t>
  </si>
  <si>
    <t>Logit</t>
  </si>
  <si>
    <t>Logistic_Pred</t>
  </si>
  <si>
    <t>LR_Prediction</t>
  </si>
  <si>
    <t>LR_Correct</t>
  </si>
  <si>
    <t>Intercept (b0)</t>
  </si>
  <si>
    <t>Coefficient (b1)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</si>
</sst>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theme="4" tint="0.39997558519241921"/>
      </left>
      <right/>
      <top/>
      <bottom style="thin">
        <color theme="4" tint="0.39997558519241921"/>
      </bottom>
      <diagonal/>
    </border>
    <border>
      <left style="thin">
        <color theme="4" tint="0.3999755851924192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0" fillId="33" borderId="12" xfId="0" applyFont="1" applyFill="1" applyBorder="1"/>
    <xf numFmtId="0" fontId="0" fillId="33" borderId="13" xfId="0" applyFont="1" applyFill="1" applyBorder="1"/>
    <xf numFmtId="0" fontId="0" fillId="0" borderId="12" xfId="0" applyFont="1" applyBorder="1"/>
    <xf numFmtId="0" fontId="0" fillId="0" borderId="13" xfId="0" applyFont="1" applyBorder="1"/>
    <xf numFmtId="2" fontId="0" fillId="33" borderId="13" xfId="0" applyNumberFormat="1" applyFont="1" applyFill="1" applyBorder="1"/>
    <xf numFmtId="2" fontId="0" fillId="0" borderId="13" xfId="0" applyNumberFormat="1" applyFont="1" applyBorder="1"/>
    <xf numFmtId="0" fontId="0" fillId="33" borderId="14" xfId="0" applyFont="1" applyFill="1" applyBorder="1"/>
    <xf numFmtId="0" fontId="0" fillId="33" borderId="11" xfId="0" applyFont="1" applyFill="1" applyBorder="1"/>
    <xf numFmtId="0" fontId="0" fillId="33" borderId="11" xfId="0" applyNumberFormat="1" applyFont="1" applyFill="1" applyBorder="1"/>
    <xf numFmtId="0" fontId="0" fillId="0" borderId="14" xfId="0" applyFont="1" applyBorder="1"/>
    <xf numFmtId="0" fontId="0" fillId="0" borderId="11" xfId="0" applyFont="1" applyBorder="1"/>
    <xf numFmtId="0" fontId="0" fillId="0" borderId="11" xfId="0" applyNumberFormat="1" applyFont="1" applyBorder="1"/>
    <xf numFmtId="0" fontId="13" fillId="34" borderId="10" xfId="0" applyFont="1" applyFill="1" applyBorder="1"/>
    <xf numFmtId="0" fontId="13" fillId="34" borderId="15" xfId="0" applyFont="1" applyFill="1" applyBorder="1"/>
    <xf numFmtId="2" fontId="13" fillId="34" borderId="10" xfId="0" applyNumberFormat="1" applyFont="1" applyFill="1" applyBorder="1"/>
    <xf numFmtId="0" fontId="13" fillId="34" borderId="16" xfId="0" applyFont="1" applyFill="1" applyBorder="1" applyAlignment="1">
      <alignment horizontal="center" vertical="center" wrapText="1"/>
    </xf>
    <xf numFmtId="0" fontId="13" fillId="34" borderId="0" xfId="0" applyFont="1" applyFill="1" applyBorder="1" applyAlignment="1">
      <alignment horizontal="center" vertical="center" wrapText="1"/>
    </xf>
    <xf numFmtId="2" fontId="0" fillId="33" borderId="11"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style="thin">
          <color theme="4" tint="0.39997558519241921"/>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outline="0">
        <left/>
        <right/>
        <top style="thin">
          <color theme="4" tint="0.39997558519241921"/>
        </top>
        <bottom/>
      </border>
    </dxf>
    <dxf>
      <numFmt numFmtId="2" formatCode="0.00"/>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style="thin">
          <color theme="4" tint="0.39997558519241921"/>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numFmt numFmtId="19" formatCode="m/d/yyyy"/>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dxf>
    <dxf>
      <numFmt numFmtId="19" formatCode="m/d/yyyy"/>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border outline="0">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excel.xlsx]Seasonality_Pattern!PivotTable8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Seasonal Distribution of High Airline Traffic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Seasonality_Pattern!$B$3</c:f>
              <c:strCache>
                <c:ptCount val="1"/>
                <c:pt idx="0">
                  <c:v>Total</c:v>
                </c:pt>
              </c:strCache>
            </c:strRef>
          </c:tx>
          <c:spPr>
            <a:solidFill>
              <a:schemeClr val="accent1"/>
            </a:solidFill>
            <a:ln>
              <a:noFill/>
            </a:ln>
            <a:effectLst/>
          </c:spPr>
          <c:invertIfNegative val="0"/>
          <c:cat>
            <c:strRef>
              <c:f>Seasonality_Pattern!$A$4:$A$8</c:f>
              <c:strCache>
                <c:ptCount val="4"/>
                <c:pt idx="0">
                  <c:v>Fall</c:v>
                </c:pt>
                <c:pt idx="1">
                  <c:v>Spring</c:v>
                </c:pt>
                <c:pt idx="2">
                  <c:v>Summer</c:v>
                </c:pt>
                <c:pt idx="3">
                  <c:v>Winter</c:v>
                </c:pt>
              </c:strCache>
            </c:strRef>
          </c:cat>
          <c:val>
            <c:numRef>
              <c:f>Seasonality_Pattern!$B$4:$B$8</c:f>
              <c:numCache>
                <c:formatCode>General</c:formatCode>
                <c:ptCount val="4"/>
                <c:pt idx="0">
                  <c:v>81</c:v>
                </c:pt>
                <c:pt idx="1">
                  <c:v>63</c:v>
                </c:pt>
                <c:pt idx="2">
                  <c:v>63</c:v>
                </c:pt>
                <c:pt idx="3">
                  <c:v>42</c:v>
                </c:pt>
              </c:numCache>
            </c:numRef>
          </c:val>
          <c:extLst>
            <c:ext xmlns:c16="http://schemas.microsoft.com/office/drawing/2014/chart" uri="{C3380CC4-5D6E-409C-BE32-E72D297353CC}">
              <c16:uniqueId val="{00000000-DEA4-43C7-965C-0DB994BA793B}"/>
            </c:ext>
          </c:extLst>
        </c:ser>
        <c:dLbls>
          <c:showLegendKey val="0"/>
          <c:showVal val="0"/>
          <c:showCatName val="0"/>
          <c:showSerName val="0"/>
          <c:showPercent val="0"/>
          <c:showBubbleSize val="0"/>
        </c:dLbls>
        <c:gapWidth val="219"/>
        <c:overlap val="-27"/>
        <c:axId val="1212406847"/>
        <c:axId val="1212425087"/>
      </c:barChart>
      <c:catAx>
        <c:axId val="1212406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Season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25087"/>
        <c:crosses val="autoZero"/>
        <c:auto val="1"/>
        <c:lblAlgn val="ctr"/>
        <c:lblOffset val="100"/>
        <c:noMultiLvlLbl val="0"/>
      </c:catAx>
      <c:valAx>
        <c:axId val="1212425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Number of High-Traffic Months</a:t>
                </a:r>
                <a:endParaRPr lang="en-US"/>
              </a:p>
            </c:rich>
          </c:tx>
          <c:layout>
            <c:manualLayout>
              <c:xMode val="edge"/>
              <c:yMode val="edge"/>
              <c:x val="2.7777777777777776E-2"/>
              <c:y val="0.152173738699329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0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U.S Airline Passenger Traffic (2003–2023)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Quantitative!$G$1</c:f>
              <c:strCache>
                <c:ptCount val="1"/>
                <c:pt idx="0">
                  <c:v>Pax</c:v>
                </c:pt>
              </c:strCache>
            </c:strRef>
          </c:tx>
          <c:spPr>
            <a:ln w="28575" cap="rnd">
              <a:solidFill>
                <a:schemeClr val="accent1"/>
              </a:solidFill>
              <a:round/>
            </a:ln>
            <a:effectLst/>
          </c:spPr>
          <c:marker>
            <c:symbol val="none"/>
          </c:marker>
          <c:val>
            <c:numRef>
              <c:f>Quantitative!$G$2:$G$253</c:f>
              <c:numCache>
                <c:formatCode>0.00</c:formatCode>
                <c:ptCount val="252"/>
                <c:pt idx="0">
                  <c:v>47938280</c:v>
                </c:pt>
                <c:pt idx="1">
                  <c:v>45412146</c:v>
                </c:pt>
                <c:pt idx="2">
                  <c:v>55001313</c:v>
                </c:pt>
                <c:pt idx="3">
                  <c:v>51378704</c:v>
                </c:pt>
                <c:pt idx="4">
                  <c:v>53763186</c:v>
                </c:pt>
                <c:pt idx="5">
                  <c:v>57621020</c:v>
                </c:pt>
                <c:pt idx="6">
                  <c:v>62001893</c:v>
                </c:pt>
                <c:pt idx="7">
                  <c:v>60193305</c:v>
                </c:pt>
                <c:pt idx="8">
                  <c:v>49038004</c:v>
                </c:pt>
                <c:pt idx="9">
                  <c:v>54865753</c:v>
                </c:pt>
                <c:pt idx="10">
                  <c:v>51905254</c:v>
                </c:pt>
                <c:pt idx="11">
                  <c:v>55116115</c:v>
                </c:pt>
                <c:pt idx="12">
                  <c:v>49070727</c:v>
                </c:pt>
                <c:pt idx="13">
                  <c:v>50248226</c:v>
                </c:pt>
                <c:pt idx="14">
                  <c:v>59952930</c:v>
                </c:pt>
                <c:pt idx="15">
                  <c:v>58917221</c:v>
                </c:pt>
                <c:pt idx="16">
                  <c:v>58798390</c:v>
                </c:pt>
                <c:pt idx="17">
                  <c:v>63364913</c:v>
                </c:pt>
                <c:pt idx="18">
                  <c:v>66797562</c:v>
                </c:pt>
                <c:pt idx="19">
                  <c:v>64367670</c:v>
                </c:pt>
                <c:pt idx="20">
                  <c:v>53068030</c:v>
                </c:pt>
                <c:pt idx="21">
                  <c:v>59797453</c:v>
                </c:pt>
                <c:pt idx="22">
                  <c:v>57165914</c:v>
                </c:pt>
                <c:pt idx="23">
                  <c:v>58681691</c:v>
                </c:pt>
                <c:pt idx="24">
                  <c:v>54136166</c:v>
                </c:pt>
                <c:pt idx="25">
                  <c:v>52574472</c:v>
                </c:pt>
                <c:pt idx="26">
                  <c:v>65803288</c:v>
                </c:pt>
                <c:pt idx="27">
                  <c:v>61297600</c:v>
                </c:pt>
                <c:pt idx="28">
                  <c:v>63899130</c:v>
                </c:pt>
                <c:pt idx="29">
                  <c:v>66847187</c:v>
                </c:pt>
                <c:pt idx="30">
                  <c:v>70263792</c:v>
                </c:pt>
                <c:pt idx="31">
                  <c:v>66529820</c:v>
                </c:pt>
                <c:pt idx="32">
                  <c:v>56534166</c:v>
                </c:pt>
                <c:pt idx="33">
                  <c:v>59611848</c:v>
                </c:pt>
                <c:pt idx="34">
                  <c:v>58410901</c:v>
                </c:pt>
                <c:pt idx="35">
                  <c:v>59196298</c:v>
                </c:pt>
                <c:pt idx="36">
                  <c:v>55288976</c:v>
                </c:pt>
                <c:pt idx="37">
                  <c:v>53055051</c:v>
                </c:pt>
                <c:pt idx="38">
                  <c:v>65507850</c:v>
                </c:pt>
                <c:pt idx="39">
                  <c:v>62865184</c:v>
                </c:pt>
                <c:pt idx="40">
                  <c:v>64142247</c:v>
                </c:pt>
                <c:pt idx="41">
                  <c:v>66922182</c:v>
                </c:pt>
                <c:pt idx="42">
                  <c:v>69178609</c:v>
                </c:pt>
                <c:pt idx="43">
                  <c:v>66147081</c:v>
                </c:pt>
                <c:pt idx="44">
                  <c:v>56139524</c:v>
                </c:pt>
                <c:pt idx="45">
                  <c:v>61370000</c:v>
                </c:pt>
                <c:pt idx="46">
                  <c:v>60025470</c:v>
                </c:pt>
                <c:pt idx="47">
                  <c:v>60456025</c:v>
                </c:pt>
                <c:pt idx="48">
                  <c:v>56876804</c:v>
                </c:pt>
                <c:pt idx="49">
                  <c:v>53845014</c:v>
                </c:pt>
                <c:pt idx="50">
                  <c:v>66891742</c:v>
                </c:pt>
                <c:pt idx="51">
                  <c:v>64630113</c:v>
                </c:pt>
                <c:pt idx="52">
                  <c:v>66528541</c:v>
                </c:pt>
                <c:pt idx="53">
                  <c:v>69447429</c:v>
                </c:pt>
                <c:pt idx="54">
                  <c:v>72153522</c:v>
                </c:pt>
                <c:pt idx="55">
                  <c:v>71087148</c:v>
                </c:pt>
                <c:pt idx="56">
                  <c:v>58973924</c:v>
                </c:pt>
                <c:pt idx="57">
                  <c:v>63940976</c:v>
                </c:pt>
                <c:pt idx="58">
                  <c:v>61660337</c:v>
                </c:pt>
                <c:pt idx="59">
                  <c:v>60591032</c:v>
                </c:pt>
                <c:pt idx="60">
                  <c:v>57459802</c:v>
                </c:pt>
                <c:pt idx="61">
                  <c:v>56809646</c:v>
                </c:pt>
                <c:pt idx="62">
                  <c:v>67470330</c:v>
                </c:pt>
                <c:pt idx="63">
                  <c:v>62972516</c:v>
                </c:pt>
                <c:pt idx="64">
                  <c:v>65794906</c:v>
                </c:pt>
                <c:pt idx="65">
                  <c:v>67727316</c:v>
                </c:pt>
                <c:pt idx="66">
                  <c:v>70233341</c:v>
                </c:pt>
                <c:pt idx="67">
                  <c:v>67596016</c:v>
                </c:pt>
                <c:pt idx="68">
                  <c:v>54007855</c:v>
                </c:pt>
                <c:pt idx="69">
                  <c:v>59429066</c:v>
                </c:pt>
                <c:pt idx="70">
                  <c:v>53825243</c:v>
                </c:pt>
                <c:pt idx="71">
                  <c:v>57134896</c:v>
                </c:pt>
                <c:pt idx="72">
                  <c:v>51559441</c:v>
                </c:pt>
                <c:pt idx="73">
                  <c:v>49647629</c:v>
                </c:pt>
                <c:pt idx="74">
                  <c:v>60758974</c:v>
                </c:pt>
                <c:pt idx="75">
                  <c:v>59331758</c:v>
                </c:pt>
                <c:pt idx="76">
                  <c:v>59545594</c:v>
                </c:pt>
                <c:pt idx="77">
                  <c:v>63358198</c:v>
                </c:pt>
                <c:pt idx="78">
                  <c:v>67868072</c:v>
                </c:pt>
                <c:pt idx="79">
                  <c:v>64786048</c:v>
                </c:pt>
                <c:pt idx="80">
                  <c:v>54454979</c:v>
                </c:pt>
                <c:pt idx="81">
                  <c:v>58574489</c:v>
                </c:pt>
                <c:pt idx="82">
                  <c:v>54593093</c:v>
                </c:pt>
                <c:pt idx="83">
                  <c:v>56686180</c:v>
                </c:pt>
                <c:pt idx="84">
                  <c:v>52317664</c:v>
                </c:pt>
                <c:pt idx="85">
                  <c:v>48455029</c:v>
                </c:pt>
                <c:pt idx="86">
                  <c:v>61955394</c:v>
                </c:pt>
                <c:pt idx="87">
                  <c:v>59439496</c:v>
                </c:pt>
                <c:pt idx="88">
                  <c:v>61245021</c:v>
                </c:pt>
                <c:pt idx="89">
                  <c:v>64790347</c:v>
                </c:pt>
                <c:pt idx="90">
                  <c:v>68194795</c:v>
                </c:pt>
                <c:pt idx="91">
                  <c:v>66017267</c:v>
                </c:pt>
                <c:pt idx="92">
                  <c:v>57152165</c:v>
                </c:pt>
                <c:pt idx="93">
                  <c:v>61898533</c:v>
                </c:pt>
                <c:pt idx="94">
                  <c:v>57930539</c:v>
                </c:pt>
                <c:pt idx="95">
                  <c:v>58347806</c:v>
                </c:pt>
                <c:pt idx="96">
                  <c:v>53460393</c:v>
                </c:pt>
                <c:pt idx="97">
                  <c:v>49863476</c:v>
                </c:pt>
                <c:pt idx="98">
                  <c:v>63382901</c:v>
                </c:pt>
                <c:pt idx="99">
                  <c:v>60353552</c:v>
                </c:pt>
                <c:pt idx="100">
                  <c:v>63654184</c:v>
                </c:pt>
                <c:pt idx="101">
                  <c:v>66035331</c:v>
                </c:pt>
                <c:pt idx="102">
                  <c:v>69694536</c:v>
                </c:pt>
                <c:pt idx="103">
                  <c:v>66081317</c:v>
                </c:pt>
                <c:pt idx="104">
                  <c:v>57875453</c:v>
                </c:pt>
                <c:pt idx="105">
                  <c:v>61008771</c:v>
                </c:pt>
                <c:pt idx="106">
                  <c:v>58091963</c:v>
                </c:pt>
                <c:pt idx="107">
                  <c:v>58866420</c:v>
                </c:pt>
                <c:pt idx="108">
                  <c:v>54236163</c:v>
                </c:pt>
                <c:pt idx="109">
                  <c:v>52923579</c:v>
                </c:pt>
                <c:pt idx="110">
                  <c:v>64260064</c:v>
                </c:pt>
                <c:pt idx="111">
                  <c:v>61299901</c:v>
                </c:pt>
                <c:pt idx="112">
                  <c:v>63478254</c:v>
                </c:pt>
                <c:pt idx="113">
                  <c:v>66412465</c:v>
                </c:pt>
                <c:pt idx="114">
                  <c:v>68987213</c:v>
                </c:pt>
                <c:pt idx="115">
                  <c:v>67538658</c:v>
                </c:pt>
                <c:pt idx="116">
                  <c:v>57232918</c:v>
                </c:pt>
                <c:pt idx="117">
                  <c:v>60732331</c:v>
                </c:pt>
                <c:pt idx="118">
                  <c:v>58554540</c:v>
                </c:pt>
                <c:pt idx="119">
                  <c:v>58666383</c:v>
                </c:pt>
                <c:pt idx="120">
                  <c:v>55148279</c:v>
                </c:pt>
                <c:pt idx="121">
                  <c:v>52304270</c:v>
                </c:pt>
                <c:pt idx="122">
                  <c:v>64891924</c:v>
                </c:pt>
                <c:pt idx="123">
                  <c:v>60790905</c:v>
                </c:pt>
                <c:pt idx="124">
                  <c:v>64586349</c:v>
                </c:pt>
                <c:pt idx="125">
                  <c:v>66874432</c:v>
                </c:pt>
                <c:pt idx="126">
                  <c:v>69019487</c:v>
                </c:pt>
                <c:pt idx="127">
                  <c:v>67518714</c:v>
                </c:pt>
                <c:pt idx="128">
                  <c:v>58021135</c:v>
                </c:pt>
                <c:pt idx="129">
                  <c:v>61980604</c:v>
                </c:pt>
                <c:pt idx="130">
                  <c:v>57423181</c:v>
                </c:pt>
                <c:pt idx="131">
                  <c:v>62300107</c:v>
                </c:pt>
                <c:pt idx="132">
                  <c:v>55628947</c:v>
                </c:pt>
                <c:pt idx="133">
                  <c:v>52283230</c:v>
                </c:pt>
                <c:pt idx="134">
                  <c:v>66265071</c:v>
                </c:pt>
                <c:pt idx="135">
                  <c:v>63341997</c:v>
                </c:pt>
                <c:pt idx="136">
                  <c:v>66368015</c:v>
                </c:pt>
                <c:pt idx="137">
                  <c:v>68458782</c:v>
                </c:pt>
                <c:pt idx="138">
                  <c:v>71746135</c:v>
                </c:pt>
                <c:pt idx="139">
                  <c:v>69388131</c:v>
                </c:pt>
                <c:pt idx="140">
                  <c:v>59872265</c:v>
                </c:pt>
                <c:pt idx="141">
                  <c:v>64371103</c:v>
                </c:pt>
                <c:pt idx="142">
                  <c:v>59627577</c:v>
                </c:pt>
                <c:pt idx="143">
                  <c:v>63652300</c:v>
                </c:pt>
                <c:pt idx="144">
                  <c:v>57664576</c:v>
                </c:pt>
                <c:pt idx="145">
                  <c:v>54050800</c:v>
                </c:pt>
                <c:pt idx="146">
                  <c:v>68081743</c:v>
                </c:pt>
                <c:pt idx="147">
                  <c:v>65817267</c:v>
                </c:pt>
                <c:pt idx="148">
                  <c:v>68819792</c:v>
                </c:pt>
                <c:pt idx="149">
                  <c:v>71163523</c:v>
                </c:pt>
                <c:pt idx="150">
                  <c:v>75523798</c:v>
                </c:pt>
                <c:pt idx="151">
                  <c:v>72751388</c:v>
                </c:pt>
                <c:pt idx="152">
                  <c:v>63645463</c:v>
                </c:pt>
                <c:pt idx="153">
                  <c:v>68631650</c:v>
                </c:pt>
                <c:pt idx="154">
                  <c:v>64482982</c:v>
                </c:pt>
                <c:pt idx="155">
                  <c:v>66281141</c:v>
                </c:pt>
                <c:pt idx="156">
                  <c:v>60694064</c:v>
                </c:pt>
                <c:pt idx="157">
                  <c:v>58388033</c:v>
                </c:pt>
                <c:pt idx="158">
                  <c:v>70439149</c:v>
                </c:pt>
                <c:pt idx="159">
                  <c:v>67130585</c:v>
                </c:pt>
                <c:pt idx="160">
                  <c:v>71410595</c:v>
                </c:pt>
                <c:pt idx="161">
                  <c:v>74406863</c:v>
                </c:pt>
                <c:pt idx="162">
                  <c:v>76786290</c:v>
                </c:pt>
                <c:pt idx="163">
                  <c:v>73349201</c:v>
                </c:pt>
                <c:pt idx="164">
                  <c:v>66386921</c:v>
                </c:pt>
                <c:pt idx="165">
                  <c:v>69454651</c:v>
                </c:pt>
                <c:pt idx="166">
                  <c:v>66528254</c:v>
                </c:pt>
                <c:pt idx="167">
                  <c:v>67914017</c:v>
                </c:pt>
                <c:pt idx="168">
                  <c:v>62560565</c:v>
                </c:pt>
                <c:pt idx="169">
                  <c:v>58320914</c:v>
                </c:pt>
                <c:pt idx="170">
                  <c:v>72897888</c:v>
                </c:pt>
                <c:pt idx="171">
                  <c:v>70196372</c:v>
                </c:pt>
                <c:pt idx="172">
                  <c:v>73621464</c:v>
                </c:pt>
                <c:pt idx="173">
                  <c:v>76957359</c:v>
                </c:pt>
                <c:pt idx="174">
                  <c:v>79764473</c:v>
                </c:pt>
                <c:pt idx="175">
                  <c:v>77047521</c:v>
                </c:pt>
                <c:pt idx="176">
                  <c:v>64870758</c:v>
                </c:pt>
                <c:pt idx="177">
                  <c:v>72655345</c:v>
                </c:pt>
                <c:pt idx="178">
                  <c:v>69590146</c:v>
                </c:pt>
                <c:pt idx="179">
                  <c:v>70286866</c:v>
                </c:pt>
                <c:pt idx="180">
                  <c:v>64389725</c:v>
                </c:pt>
                <c:pt idx="181">
                  <c:v>61674791</c:v>
                </c:pt>
                <c:pt idx="182">
                  <c:v>76247058</c:v>
                </c:pt>
                <c:pt idx="183">
                  <c:v>73592486</c:v>
                </c:pt>
                <c:pt idx="184">
                  <c:v>77260205</c:v>
                </c:pt>
                <c:pt idx="185">
                  <c:v>80847057</c:v>
                </c:pt>
                <c:pt idx="186">
                  <c:v>83931238</c:v>
                </c:pt>
                <c:pt idx="187">
                  <c:v>80962656</c:v>
                </c:pt>
                <c:pt idx="188">
                  <c:v>68676547</c:v>
                </c:pt>
                <c:pt idx="189">
                  <c:v>75480626</c:v>
                </c:pt>
                <c:pt idx="190">
                  <c:v>72712176</c:v>
                </c:pt>
                <c:pt idx="191">
                  <c:v>72855340</c:v>
                </c:pt>
                <c:pt idx="192">
                  <c:v>66990634</c:v>
                </c:pt>
                <c:pt idx="193">
                  <c:v>63551231</c:v>
                </c:pt>
                <c:pt idx="194">
                  <c:v>80181591</c:v>
                </c:pt>
                <c:pt idx="195">
                  <c:v>76399263</c:v>
                </c:pt>
                <c:pt idx="196">
                  <c:v>81316469</c:v>
                </c:pt>
                <c:pt idx="197">
                  <c:v>83808577</c:v>
                </c:pt>
                <c:pt idx="198">
                  <c:v>86925851</c:v>
                </c:pt>
                <c:pt idx="199">
                  <c:v>83751188</c:v>
                </c:pt>
                <c:pt idx="200">
                  <c:v>72569324</c:v>
                </c:pt>
                <c:pt idx="201">
                  <c:v>78600600</c:v>
                </c:pt>
                <c:pt idx="202">
                  <c:v>73057527</c:v>
                </c:pt>
                <c:pt idx="203">
                  <c:v>79284659</c:v>
                </c:pt>
                <c:pt idx="204">
                  <c:v>70767768</c:v>
                </c:pt>
                <c:pt idx="205">
                  <c:v>67813206</c:v>
                </c:pt>
                <c:pt idx="206">
                  <c:v>39058775</c:v>
                </c:pt>
                <c:pt idx="207">
                  <c:v>3013899</c:v>
                </c:pt>
                <c:pt idx="208">
                  <c:v>9888029</c:v>
                </c:pt>
                <c:pt idx="209">
                  <c:v>16610992</c:v>
                </c:pt>
                <c:pt idx="210">
                  <c:v>24053884</c:v>
                </c:pt>
                <c:pt idx="211">
                  <c:v>25831100</c:v>
                </c:pt>
                <c:pt idx="212">
                  <c:v>25268025</c:v>
                </c:pt>
                <c:pt idx="213">
                  <c:v>30009436</c:v>
                </c:pt>
                <c:pt idx="214">
                  <c:v>28757534</c:v>
                </c:pt>
                <c:pt idx="215">
                  <c:v>30532865</c:v>
                </c:pt>
                <c:pt idx="216">
                  <c:v>27291696</c:v>
                </c:pt>
                <c:pt idx="217">
                  <c:v>26604490</c:v>
                </c:pt>
                <c:pt idx="218">
                  <c:v>42796798</c:v>
                </c:pt>
                <c:pt idx="219">
                  <c:v>47796661</c:v>
                </c:pt>
                <c:pt idx="220">
                  <c:v>57693367</c:v>
                </c:pt>
                <c:pt idx="221">
                  <c:v>66145224</c:v>
                </c:pt>
                <c:pt idx="222">
                  <c:v>73772808</c:v>
                </c:pt>
                <c:pt idx="223">
                  <c:v>66988064</c:v>
                </c:pt>
                <c:pt idx="224">
                  <c:v>58746082</c:v>
                </c:pt>
                <c:pt idx="225">
                  <c:v>65906829</c:v>
                </c:pt>
                <c:pt idx="226">
                  <c:v>65777748</c:v>
                </c:pt>
                <c:pt idx="227">
                  <c:v>66628465</c:v>
                </c:pt>
                <c:pt idx="228">
                  <c:v>51863112</c:v>
                </c:pt>
                <c:pt idx="229">
                  <c:v>54801918</c:v>
                </c:pt>
                <c:pt idx="230">
                  <c:v>72489903</c:v>
                </c:pt>
                <c:pt idx="231">
                  <c:v>71916439</c:v>
                </c:pt>
                <c:pt idx="232">
                  <c:v>75777537</c:v>
                </c:pt>
                <c:pt idx="233">
                  <c:v>77392138</c:v>
                </c:pt>
                <c:pt idx="234">
                  <c:v>80375197</c:v>
                </c:pt>
                <c:pt idx="235">
                  <c:v>76635996</c:v>
                </c:pt>
                <c:pt idx="236">
                  <c:v>71426961</c:v>
                </c:pt>
                <c:pt idx="237">
                  <c:v>76349699</c:v>
                </c:pt>
                <c:pt idx="238">
                  <c:v>71896946</c:v>
                </c:pt>
                <c:pt idx="239">
                  <c:v>71887680</c:v>
                </c:pt>
                <c:pt idx="240">
                  <c:v>67351033</c:v>
                </c:pt>
                <c:pt idx="241">
                  <c:v>64796891</c:v>
                </c:pt>
                <c:pt idx="242">
                  <c:v>79803140</c:v>
                </c:pt>
                <c:pt idx="243">
                  <c:v>77580219</c:v>
                </c:pt>
                <c:pt idx="244">
                  <c:v>81782319</c:v>
                </c:pt>
                <c:pt idx="245">
                  <c:v>84027126</c:v>
                </c:pt>
                <c:pt idx="246">
                  <c:v>87810772</c:v>
                </c:pt>
                <c:pt idx="247">
                  <c:v>83050137</c:v>
                </c:pt>
                <c:pt idx="248">
                  <c:v>76251475</c:v>
                </c:pt>
                <c:pt idx="249">
                  <c:v>62601919.349397592</c:v>
                </c:pt>
                <c:pt idx="251">
                  <c:v>7419187</c:v>
                </c:pt>
              </c:numCache>
            </c:numRef>
          </c:val>
          <c:smooth val="0"/>
          <c:extLst>
            <c:ext xmlns:c16="http://schemas.microsoft.com/office/drawing/2014/chart" uri="{C3380CC4-5D6E-409C-BE32-E72D297353CC}">
              <c16:uniqueId val="{00000000-218C-42A3-A4A7-F6A430F532FF}"/>
            </c:ext>
          </c:extLst>
        </c:ser>
        <c:dLbls>
          <c:showLegendKey val="0"/>
          <c:showVal val="0"/>
          <c:showCatName val="0"/>
          <c:showSerName val="0"/>
          <c:showPercent val="0"/>
          <c:showBubbleSize val="0"/>
        </c:dLbls>
        <c:smooth val="0"/>
        <c:axId val="1092637888"/>
        <c:axId val="1092628768"/>
      </c:lineChart>
      <c:catAx>
        <c:axId val="1092637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layout>
            <c:manualLayout>
              <c:xMode val="edge"/>
              <c:yMode val="edge"/>
              <c:x val="0.48919313210848653"/>
              <c:y val="0.772777048702245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628768"/>
        <c:crosses val="autoZero"/>
        <c:auto val="1"/>
        <c:lblAlgn val="ctr"/>
        <c:lblOffset val="100"/>
        <c:noMultiLvlLbl val="0"/>
      </c:catAx>
      <c:valAx>
        <c:axId val="1092628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Passengers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637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traffic.csv.xlsx]sheet 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Monthly Airline Passengers (Seasonality Pattern)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'Classification '!$B$3</c:f>
              <c:strCache>
                <c:ptCount val="1"/>
                <c:pt idx="0">
                  <c:v>Total</c:v>
                </c:pt>
              </c:strCache>
            </c:strRef>
          </c:tx>
          <c:spPr>
            <a:solidFill>
              <a:schemeClr val="accent1"/>
            </a:solidFill>
            <a:ln>
              <a:noFill/>
            </a:ln>
            <a:effectLst/>
          </c:spPr>
          <c:invertIfNegative val="0"/>
          <c:cat>
            <c:strRef>
              <c:f>'Classification '!$A$4:$A$16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'Classification '!$B$4:$B$16</c:f>
              <c:numCache>
                <c:formatCode>0.00</c:formatCode>
                <c:ptCount val="12"/>
                <c:pt idx="0">
                  <c:v>55842610.238095239</c:v>
                </c:pt>
                <c:pt idx="1">
                  <c:v>53686859.142857142</c:v>
                </c:pt>
                <c:pt idx="2">
                  <c:v>64958944.095238097</c:v>
                </c:pt>
                <c:pt idx="3">
                  <c:v>60955339.904761903</c:v>
                </c:pt>
                <c:pt idx="4">
                  <c:v>64255885.428571425</c:v>
                </c:pt>
                <c:pt idx="5">
                  <c:v>67581831.476190478</c:v>
                </c:pt>
                <c:pt idx="6">
                  <c:v>71194441.333333328</c:v>
                </c:pt>
                <c:pt idx="7">
                  <c:v>68458020.285714284</c:v>
                </c:pt>
                <c:pt idx="8">
                  <c:v>59057713.047619045</c:v>
                </c:pt>
                <c:pt idx="9">
                  <c:v>63233488.149999999</c:v>
                </c:pt>
                <c:pt idx="10">
                  <c:v>60100866.25</c:v>
                </c:pt>
                <c:pt idx="11">
                  <c:v>61768314.299999997</c:v>
                </c:pt>
              </c:numCache>
            </c:numRef>
          </c:val>
          <c:extLst>
            <c:ext xmlns:c16="http://schemas.microsoft.com/office/drawing/2014/chart" uri="{C3380CC4-5D6E-409C-BE32-E72D297353CC}">
              <c16:uniqueId val="{0000000C-989F-4F2A-978B-F78F6EC6C05A}"/>
            </c:ext>
          </c:extLst>
        </c:ser>
        <c:dLbls>
          <c:showLegendKey val="0"/>
          <c:showVal val="0"/>
          <c:showCatName val="0"/>
          <c:showSerName val="0"/>
          <c:showPercent val="0"/>
          <c:showBubbleSize val="0"/>
        </c:dLbls>
        <c:gapWidth val="219"/>
        <c:overlap val="-27"/>
        <c:axId val="1212324287"/>
        <c:axId val="1212324767"/>
      </c:barChart>
      <c:catAx>
        <c:axId val="1212324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Month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324767"/>
        <c:crosses val="autoZero"/>
        <c:auto val="1"/>
        <c:lblAlgn val="ctr"/>
        <c:lblOffset val="100"/>
        <c:noMultiLvlLbl val="0"/>
      </c:catAx>
      <c:valAx>
        <c:axId val="1212324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Average Passengers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32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83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excel.xlsx]Word Frequency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Most Frequent Words in U.S. Travel Destination Descriptions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'Word Frequency Analysis'!$B$3</c:f>
              <c:strCache>
                <c:ptCount val="1"/>
                <c:pt idx="0">
                  <c:v>Total</c:v>
                </c:pt>
              </c:strCache>
            </c:strRef>
          </c:tx>
          <c:spPr>
            <a:solidFill>
              <a:schemeClr val="accent1"/>
            </a:solidFill>
            <a:ln>
              <a:noFill/>
            </a:ln>
            <a:effectLst/>
          </c:spPr>
          <c:invertIfNegative val="0"/>
          <c:cat>
            <c:strRef>
              <c:f>'Word Frequency Analysis'!$A$4:$A$90</c:f>
              <c:strCache>
                <c:ptCount val="86"/>
                <c:pt idx="0">
                  <c:v>island</c:v>
                </c:pt>
                <c:pt idx="1">
                  <c:v>trail</c:v>
                </c:pt>
                <c:pt idx="2">
                  <c:v>observation</c:v>
                </c:pt>
                <c:pt idx="3">
                  <c:v>museum</c:v>
                </c:pt>
                <c:pt idx="4">
                  <c:v>arch</c:v>
                </c:pt>
                <c:pt idx="5">
                  <c:v>center</c:v>
                </c:pt>
                <c:pt idx="6">
                  <c:v>walk</c:v>
                </c:pt>
                <c:pt idx="7">
                  <c:v>square</c:v>
                </c:pt>
                <c:pt idx="8">
                  <c:v>national</c:v>
                </c:pt>
                <c:pt idx="9">
                  <c:v>lincoln</c:v>
                </c:pt>
                <c:pt idx="10">
                  <c:v>battlefield</c:v>
                </c:pt>
                <c:pt idx="11">
                  <c:v>rim</c:v>
                </c:pt>
                <c:pt idx="12">
                  <c:v>bethesda</c:v>
                </c:pt>
                <c:pt idx="13">
                  <c:v>as</c:v>
                </c:pt>
                <c:pt idx="14">
                  <c:v>borglum</c:v>
                </c:pt>
                <c:pt idx="15">
                  <c:v>mist</c:v>
                </c:pt>
                <c:pt idx="16">
                  <c:v>bourbon</c:v>
                </c:pt>
                <c:pt idx="17">
                  <c:v>park</c:v>
                </c:pt>
                <c:pt idx="18">
                  <c:v>bridge</c:v>
                </c:pt>
                <c:pt idx="19">
                  <c:v>shark</c:v>
                </c:pt>
                <c:pt idx="20">
                  <c:v>bright</c:v>
                </c:pt>
                <c:pt idx="21">
                  <c:v>theaters</c:v>
                </c:pt>
                <c:pt idx="22">
                  <c:v>broadway</c:v>
                </c:pt>
                <c:pt idx="23">
                  <c:v>liberty</c:v>
                </c:pt>
                <c:pt idx="24">
                  <c:v>cape</c:v>
                </c:pt>
                <c:pt idx="25">
                  <c:v>magic</c:v>
                </c:pt>
                <c:pt idx="26">
                  <c:v>capital</c:v>
                </c:pt>
                <c:pt idx="27">
                  <c:v>nantucket</c:v>
                </c:pt>
                <c:pt idx="28">
                  <c:v>cellhouse</c:v>
                </c:pt>
                <c:pt idx="29">
                  <c:v>angel</c:v>
                </c:pt>
                <c:pt idx="30">
                  <c:v>angeles</c:v>
                </c:pt>
                <c:pt idx="31">
                  <c:v>presidential</c:v>
                </c:pt>
                <c:pt idx="32">
                  <c:v>central</c:v>
                </c:pt>
                <c:pt idx="33">
                  <c:v>seashore</c:v>
                </c:pt>
                <c:pt idx="34">
                  <c:v>cod</c:v>
                </c:pt>
                <c:pt idx="35">
                  <c:v>south</c:v>
                </c:pt>
                <c:pt idx="36">
                  <c:v>deck</c:v>
                </c:pt>
                <c:pt idx="37">
                  <c:v>terrace</c:v>
                </c:pt>
                <c:pt idx="38">
                  <c:v>delicate</c:v>
                </c:pt>
                <c:pt idx="39">
                  <c:v>tours</c:v>
                </c:pt>
                <c:pt idx="40">
                  <c:v>district</c:v>
                </c:pt>
                <c:pt idx="41">
                  <c:v>visitor</c:v>
                </c:pt>
                <c:pt idx="42">
                  <c:v>drop</c:v>
                </c:pt>
                <c:pt idx="43">
                  <c:v>lighthouse</c:v>
                </c:pt>
                <c:pt idx="44">
                  <c:v>ellis</c:v>
                </c:pt>
                <c:pt idx="45">
                  <c:v>los</c:v>
                </c:pt>
                <c:pt idx="46">
                  <c:v>entertainment</c:v>
                </c:pt>
                <c:pt idx="47">
                  <c:v>maid</c:v>
                </c:pt>
                <c:pt idx="48">
                  <c:v>epcot</c:v>
                </c:pt>
                <c:pt idx="49">
                  <c:v>anhinga</c:v>
                </c:pt>
                <c:pt idx="50">
                  <c:v>eve</c:v>
                </c:pt>
                <c:pt idx="51">
                  <c:v>narrows</c:v>
                </c:pt>
                <c:pt idx="52">
                  <c:v>faithful</c:v>
                </c:pt>
                <c:pt idx="53">
                  <c:v>new</c:v>
                </c:pt>
                <c:pt idx="54">
                  <c:v>fame</c:v>
                </c:pt>
                <c:pt idx="55">
                  <c:v>old</c:v>
                </c:pt>
                <c:pt idx="56">
                  <c:v>famous</c:v>
                </c:pt>
                <c:pt idx="57">
                  <c:v>point</c:v>
                </c:pt>
                <c:pt idx="58">
                  <c:v>gettysburg</c:v>
                </c:pt>
                <c:pt idx="59">
                  <c:v>prismatic</c:v>
                </c:pt>
                <c:pt idx="60">
                  <c:v>glacier</c:v>
                </c:pt>
                <c:pt idx="61">
                  <c:v>road</c:v>
                </c:pt>
                <c:pt idx="62">
                  <c:v>going-to-the-sun</c:v>
                </c:pt>
                <c:pt idx="63">
                  <c:v>seattle</c:v>
                </c:pt>
                <c:pt idx="64">
                  <c:v>grand</c:v>
                </c:pt>
                <c:pt idx="65">
                  <c:v>sign</c:v>
                </c:pt>
                <c:pt idx="66">
                  <c:v>grinnell</c:v>
                </c:pt>
                <c:pt idx="67">
                  <c:v>spring</c:v>
                </c:pt>
                <c:pt idx="68">
                  <c:v>hollywood</c:v>
                </c:pt>
                <c:pt idx="69">
                  <c:v>street</c:v>
                </c:pt>
                <c:pt idx="70">
                  <c:v>angels</c:v>
                </c:pt>
                <c:pt idx="71">
                  <c:v>the</c:v>
                </c:pt>
                <c:pt idx="72">
                  <c:v>jackson</c:v>
                </c:pt>
                <c:pt idx="73">
                  <c:v>tour</c:v>
                </c:pt>
                <c:pt idx="74">
                  <c:v>vista</c:v>
                </c:pt>
                <c:pt idx="75">
                  <c:v>tower</c:v>
                </c:pt>
                <c:pt idx="76">
                  <c:v>world</c:v>
                </c:pt>
                <c:pt idx="77">
                  <c:v>valley</c:v>
                </c:pt>
                <c:pt idx="78">
                  <c:v>zoo</c:v>
                </c:pt>
                <c:pt idx="79">
                  <c:v>ball</c:v>
                </c:pt>
                <c:pt idx="80">
                  <c:v>landscape</c:v>
                </c:pt>
                <c:pt idx="81">
                  <c:v>kingdom</c:v>
                </c:pt>
                <c:pt idx="82">
                  <c:v>year’s</c:v>
                </c:pt>
                <c:pt idx="83">
                  <c:v>known</c:v>
                </c:pt>
                <c:pt idx="84">
                  <c:v>alcatraz</c:v>
                </c:pt>
                <c:pt idx="85">
                  <c:v>landing</c:v>
                </c:pt>
              </c:strCache>
            </c:strRef>
          </c:cat>
          <c:val>
            <c:numRef>
              <c:f>'Word Frequency Analysis'!$B$4:$B$90</c:f>
              <c:numCache>
                <c:formatCode>General</c:formatCode>
                <c:ptCount val="86"/>
                <c:pt idx="0">
                  <c:v>3</c:v>
                </c:pt>
                <c:pt idx="1">
                  <c:v>3</c:v>
                </c:pt>
                <c:pt idx="2">
                  <c:v>2</c:v>
                </c:pt>
                <c:pt idx="3">
                  <c:v>2</c:v>
                </c:pt>
                <c:pt idx="4">
                  <c:v>2</c:v>
                </c:pt>
                <c:pt idx="5">
                  <c:v>2</c:v>
                </c:pt>
                <c:pt idx="6">
                  <c:v>2</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numCache>
            </c:numRef>
          </c:val>
          <c:extLst>
            <c:ext xmlns:c16="http://schemas.microsoft.com/office/drawing/2014/chart" uri="{C3380CC4-5D6E-409C-BE32-E72D297353CC}">
              <c16:uniqueId val="{00000000-B7A1-4A25-9D4E-8AD064698371}"/>
            </c:ext>
          </c:extLst>
        </c:ser>
        <c:dLbls>
          <c:showLegendKey val="0"/>
          <c:showVal val="0"/>
          <c:showCatName val="0"/>
          <c:showSerName val="0"/>
          <c:showPercent val="0"/>
          <c:showBubbleSize val="0"/>
        </c:dLbls>
        <c:gapWidth val="219"/>
        <c:overlap val="-27"/>
        <c:axId val="27117568"/>
        <c:axId val="27128608"/>
      </c:barChart>
      <c:catAx>
        <c:axId val="27117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Word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28608"/>
        <c:crosses val="autoZero"/>
        <c:auto val="1"/>
        <c:lblAlgn val="ctr"/>
        <c:lblOffset val="100"/>
        <c:noMultiLvlLbl val="0"/>
      </c:catAx>
      <c:valAx>
        <c:axId val="2712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1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254000</xdr:colOff>
      <xdr:row>3</xdr:row>
      <xdr:rowOff>146050</xdr:rowOff>
    </xdr:from>
    <xdr:to>
      <xdr:col>11</xdr:col>
      <xdr:colOff>558800</xdr:colOff>
      <xdr:row>18</xdr:row>
      <xdr:rowOff>127000</xdr:rowOff>
    </xdr:to>
    <xdr:graphicFrame macro="">
      <xdr:nvGraphicFramePr>
        <xdr:cNvPr id="4" name="Chart 3">
          <a:extLst>
            <a:ext uri="{FF2B5EF4-FFF2-40B4-BE49-F238E27FC236}">
              <a16:creationId xmlns:a16="http://schemas.microsoft.com/office/drawing/2014/main" id="{AA17FFA9-F7AD-D630-4BAA-6A565B831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479425</xdr:colOff>
      <xdr:row>251</xdr:row>
      <xdr:rowOff>28575</xdr:rowOff>
    </xdr:from>
    <xdr:to>
      <xdr:col>15</xdr:col>
      <xdr:colOff>568325</xdr:colOff>
      <xdr:row>266</xdr:row>
      <xdr:rowOff>9525</xdr:rowOff>
    </xdr:to>
    <xdr:graphicFrame macro="">
      <xdr:nvGraphicFramePr>
        <xdr:cNvPr id="2" name="Chart 1">
          <a:extLst>
            <a:ext uri="{FF2B5EF4-FFF2-40B4-BE49-F238E27FC236}">
              <a16:creationId xmlns:a16="http://schemas.microsoft.com/office/drawing/2014/main" id="{7461B3EA-6F97-2920-628D-7AC023524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206375</xdr:colOff>
      <xdr:row>3</xdr:row>
      <xdr:rowOff>95250</xdr:rowOff>
    </xdr:from>
    <xdr:to>
      <xdr:col>10</xdr:col>
      <xdr:colOff>511175</xdr:colOff>
      <xdr:row>18</xdr:row>
      <xdr:rowOff>76200</xdr:rowOff>
    </xdr:to>
    <xdr:graphicFrame macro="">
      <xdr:nvGraphicFramePr>
        <xdr:cNvPr id="3" name="Chart 1">
          <a:extLst>
            <a:ext uri="{FF2B5EF4-FFF2-40B4-BE49-F238E27FC236}">
              <a16:creationId xmlns:a16="http://schemas.microsoft.com/office/drawing/2014/main" id="{F34A4A5D-548D-A85F-B4BF-2A83AE97A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536575</xdr:colOff>
      <xdr:row>3</xdr:row>
      <xdr:rowOff>95250</xdr:rowOff>
    </xdr:from>
    <xdr:to>
      <xdr:col>13</xdr:col>
      <xdr:colOff>231775</xdr:colOff>
      <xdr:row>18</xdr:row>
      <xdr:rowOff>76200</xdr:rowOff>
    </xdr:to>
    <xdr:graphicFrame macro="">
      <xdr:nvGraphicFramePr>
        <xdr:cNvPr id="2" name="Chart 1">
          <a:extLst>
            <a:ext uri="{FF2B5EF4-FFF2-40B4-BE49-F238E27FC236}">
              <a16:creationId xmlns:a16="http://schemas.microsoft.com/office/drawing/2014/main" id="{2FAB23AE-C90D-ECFA-5C4E-F331F8446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UVECHHYA.GURUNG" id="{E68B9EA4-1B2E-480E-A484-CAD4AD88B02D}" userId="S::SUVECHHYA.GURUNG@BARUCHMAIL.CUNY.EDU::a5312f3e-1b78-4085-a181-464869eda94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i Gurung" refreshedDate="45999.83260775463" createdVersion="8" refreshedVersion="8" minRefreshableVersion="3" recordCount="249" xr:uid="{745ABE69-59D0-4D52-AFFE-EAF41160ED77}">
  <cacheSource type="worksheet">
    <worksheetSource ref="A1:U250" sheet="Quantitative"/>
  </cacheSource>
  <cacheFields count="20">
    <cacheField name="Year" numFmtId="0">
      <sharedItems containsSemiMixedTypes="0" containsString="0" containsNumber="1" containsInteger="1" minValue="2003" maxValue="2023"/>
    </cacheField>
    <cacheField name="Month" numFmtId="0">
      <sharedItems containsSemiMixedTypes="0" containsString="0" containsNumber="1" containsInteger="1" minValue="1" maxValue="12" count="12">
        <n v="1"/>
        <n v="2"/>
        <n v="3"/>
        <n v="4"/>
        <n v="5"/>
        <n v="6"/>
        <n v="7"/>
        <n v="8"/>
        <n v="9"/>
        <n v="10"/>
        <n v="11"/>
        <n v="12"/>
      </sharedItems>
    </cacheField>
    <cacheField name="Season" numFmtId="0">
      <sharedItems/>
    </cacheField>
    <cacheField name="High_Traffic" numFmtId="0">
      <sharedItems containsSemiMixedTypes="0" containsString="0" containsNumber="1" containsInteger="1" minValue="1" maxValue="1"/>
    </cacheField>
    <cacheField name="Dom_Pax" numFmtId="2">
      <sharedItems containsSemiMixedTypes="0" containsString="0" containsNumber="1" containsInteger="1" minValue="2877290" maxValue="75378157"/>
    </cacheField>
    <cacheField name="Int_Pax" numFmtId="2">
      <sharedItems containsSemiMixedTypes="0" containsString="0" containsNumber="1" containsInteger="1" minValue="136609" maxValue="12432615"/>
    </cacheField>
    <cacheField name="Pax" numFmtId="2">
      <sharedItems containsSemiMixedTypes="0" containsString="0" containsNumber="1" containsInteger="1" minValue="3013899" maxValue="87810772"/>
    </cacheField>
    <cacheField name="Dom_Flt" numFmtId="2">
      <sharedItems containsSemiMixedTypes="0" containsString="0" containsNumber="1" containsInteger="1" minValue="217262" maxValue="890938"/>
    </cacheField>
    <cacheField name="Int_Flt" numFmtId="2">
      <sharedItems containsSemiMixedTypes="0" containsString="0" containsNumber="1" containsInteger="1" minValue="4996" maxValue="82681"/>
    </cacheField>
    <cacheField name="Flt" numFmtId="2">
      <sharedItems containsSemiMixedTypes="0" containsString="0" containsNumber="1" containsInteger="1" minValue="222280" maxValue="964102"/>
    </cacheField>
    <cacheField name="Dom_RPM" numFmtId="2">
      <sharedItems containsSemiMixedTypes="0" containsString="0" containsNumber="1" containsInteger="1" minValue="2551127" maxValue="72267904"/>
    </cacheField>
    <cacheField name="Int_RPM" numFmtId="2">
      <sharedItems containsSemiMixedTypes="0" containsString="0" containsNumber="1" containsInteger="1" minValue="356762" maxValue="31376000"/>
    </cacheField>
    <cacheField name="RPM" numFmtId="2">
      <sharedItems containsSemiMixedTypes="0" containsString="0" containsNumber="1" containsInteger="1" minValue="2907889" maxValue="103643904"/>
    </cacheField>
    <cacheField name="Dom_ASM" numFmtId="2">
      <sharedItems containsSemiMixedTypes="0" containsString="0" containsNumber="1" containsInteger="1" minValue="19489079" maxValue="81997399"/>
    </cacheField>
    <cacheField name="Int_ASM" numFmtId="2">
      <sharedItems containsSemiMixedTypes="0" containsString="0" containsNumber="1" containsInteger="1" minValue="1541419" maxValue="35326191"/>
    </cacheField>
    <cacheField name="ASM" numFmtId="2">
      <sharedItems containsSemiMixedTypes="0" containsString="0" containsNumber="1" containsInteger="1" minValue="21030499" maxValue="117312202"/>
    </cacheField>
    <cacheField name="Dom_LF" numFmtId="0">
      <sharedItems containsSemiMixedTypes="0" containsString="0" containsNumber="1" minValue="13.09" maxValue="89.96"/>
    </cacheField>
    <cacheField name="Int_LF" numFmtId="0">
      <sharedItems containsSemiMixedTypes="0" containsString="0" containsNumber="1" minValue="23.15" maxValue="89.44"/>
    </cacheField>
    <cacheField name="LF" numFmtId="0">
      <sharedItems containsSemiMixedTypes="0" containsString="0" containsNumber="1" minValue="13.83" maxValue="89.14"/>
    </cacheField>
    <cacheField name="Date" numFmtId="14">
      <sharedItems containsSemiMixedTypes="0" containsNonDate="0" containsDate="1" containsString="0" minDate="2003-01-01T00:00:00" maxDate="2023-09-02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i Gurung" refreshedDate="45999.957339699075" createdVersion="8" refreshedVersion="8" minRefreshableVersion="3" recordCount="95" xr:uid="{772CFC38-EA8B-47CE-B1CB-18B3AF85BA56}">
  <cacheSource type="worksheet">
    <worksheetSource ref="A1:A96" sheet="Sheet4"/>
  </cacheSource>
  <cacheFields count="1">
    <cacheField name="Column1" numFmtId="0">
      <sharedItems count="86">
        <s v="famous"/>
        <s v="district"/>
        <s v="los"/>
        <s v="angeles"/>
        <s v="known"/>
        <s v="as"/>
        <s v="entertainment"/>
        <s v="capital"/>
        <s v="world"/>
        <s v="walk"/>
        <s v="fame"/>
        <s v="hollywood"/>
        <s v="sign"/>
        <s v="broadway"/>
        <s v="theaters"/>
        <s v="new"/>
        <s v="year’s"/>
        <s v="eve"/>
        <s v="ball"/>
        <s v="drop"/>
        <s v="going-to-the-sun"/>
        <s v="road"/>
        <s v="grinnell"/>
        <s v="glacier"/>
        <s v="the"/>
        <s v="narrows"/>
        <s v="angels"/>
        <s v="landing"/>
        <s v="nantucket"/>
        <s v="island"/>
        <s v="cape"/>
        <s v="cod"/>
        <s v="national"/>
        <s v="seashore"/>
        <s v="cellhouse"/>
        <s v="tour"/>
        <s v="alcatraz"/>
        <s v="lighthouse"/>
        <s v="gettysburg"/>
        <s v="museum"/>
        <s v="battlefield"/>
        <s v="tours"/>
        <s v="ellis"/>
        <s v="liberty"/>
        <s v="old"/>
        <s v="faithful"/>
        <s v="grand"/>
        <s v="prismatic"/>
        <s v="spring"/>
        <s v="bourbon"/>
        <s v="street"/>
        <s v="jackson"/>
        <s v="square"/>
        <s v="presidential"/>
        <s v="trail"/>
        <s v="lincoln"/>
        <s v="borglum"/>
        <s v="visitor"/>
        <s v="center"/>
        <s v="maid"/>
        <s v="mist"/>
        <s v="observation"/>
        <s v="tower"/>
        <s v="bethesda"/>
        <s v="terrace"/>
        <s v="central"/>
        <s v="park"/>
        <s v="zoo"/>
        <s v="south"/>
        <s v="rim"/>
        <s v="bright"/>
        <s v="angel"/>
        <s v="magic"/>
        <s v="kingdom"/>
        <s v="epcot"/>
        <s v="bridge"/>
        <s v="vista"/>
        <s v="point"/>
        <s v="deck"/>
        <s v="seattle"/>
        <s v="delicate"/>
        <s v="arch"/>
        <s v="landscape"/>
        <s v="anhinga"/>
        <s v="shark"/>
        <s v="valley"/>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i Gurung" refreshedDate="45999.990608449072" createdVersion="8" refreshedVersion="8" minRefreshableVersion="3" recordCount="249" xr:uid="{A4F60A15-798F-4215-89B9-995BD44AD95B}">
  <cacheSource type="worksheet">
    <worksheetSource name="Table4"/>
  </cacheSource>
  <cacheFields count="22">
    <cacheField name="Year" numFmtId="0">
      <sharedItems containsSemiMixedTypes="0" containsString="0" containsNumber="1" containsInteger="1" minValue="2003" maxValue="2023"/>
    </cacheField>
    <cacheField name="Month" numFmtId="0">
      <sharedItems containsSemiMixedTypes="0" containsString="0" containsNumber="1" containsInteger="1" minValue="1" maxValue="12"/>
    </cacheField>
    <cacheField name="Season" numFmtId="0">
      <sharedItems count="4">
        <s v="Winter"/>
        <s v="Spring"/>
        <s v="Summer"/>
        <s v="Fall"/>
      </sharedItems>
    </cacheField>
    <cacheField name="High_Traffic" numFmtId="0">
      <sharedItems containsSemiMixedTypes="0" containsString="0" containsNumber="1" containsInteger="1" minValue="1" maxValue="1" count="1">
        <n v="1"/>
      </sharedItems>
    </cacheField>
    <cacheField name="Dom_Pax" numFmtId="2">
      <sharedItems containsSemiMixedTypes="0" containsString="0" containsNumber="1" containsInteger="1" minValue="2877290" maxValue="75378157"/>
    </cacheField>
    <cacheField name="Int_Pax" numFmtId="2">
      <sharedItems containsSemiMixedTypes="0" containsString="0" containsNumber="1" containsInteger="1" minValue="136609" maxValue="12432615"/>
    </cacheField>
    <cacheField name="Pax" numFmtId="2">
      <sharedItems containsSemiMixedTypes="0" containsString="0" containsNumber="1" containsInteger="1" minValue="3013899" maxValue="87810772"/>
    </cacheField>
    <cacheField name="Pax_Lag1" numFmtId="2">
      <sharedItems containsString="0" containsBlank="1" containsNumber="1" containsInteger="1" minValue="3013899" maxValue="87810772"/>
    </cacheField>
    <cacheField name="Dom_Flt" numFmtId="2">
      <sharedItems containsSemiMixedTypes="0" containsString="0" containsNumber="1" containsInteger="1" minValue="217262" maxValue="890938"/>
    </cacheField>
    <cacheField name="Int_Flt" numFmtId="2">
      <sharedItems containsSemiMixedTypes="0" containsString="0" containsNumber="1" containsInteger="1" minValue="4996" maxValue="82681"/>
    </cacheField>
    <cacheField name="Flt" numFmtId="2">
      <sharedItems containsSemiMixedTypes="0" containsString="0" containsNumber="1" containsInteger="1" minValue="222280" maxValue="964102"/>
    </cacheField>
    <cacheField name="Dom_RPM" numFmtId="2">
      <sharedItems containsSemiMixedTypes="0" containsString="0" containsNumber="1" containsInteger="1" minValue="2551127" maxValue="72267904"/>
    </cacheField>
    <cacheField name="Int_RPM" numFmtId="2">
      <sharedItems containsSemiMixedTypes="0" containsString="0" containsNumber="1" containsInteger="1" minValue="356762" maxValue="31376000"/>
    </cacheField>
    <cacheField name="RPM" numFmtId="2">
      <sharedItems containsSemiMixedTypes="0" containsString="0" containsNumber="1" containsInteger="1" minValue="2907889" maxValue="103643904"/>
    </cacheField>
    <cacheField name="Dom_ASM" numFmtId="2">
      <sharedItems containsSemiMixedTypes="0" containsString="0" containsNumber="1" containsInteger="1" minValue="19489079" maxValue="81997399"/>
    </cacheField>
    <cacheField name="Int_ASM" numFmtId="2">
      <sharedItems containsSemiMixedTypes="0" containsString="0" containsNumber="1" containsInteger="1" minValue="1541419" maxValue="35326191"/>
    </cacheField>
    <cacheField name="ASM" numFmtId="2">
      <sharedItems containsSemiMixedTypes="0" containsString="0" containsNumber="1" containsInteger="1" minValue="21030499" maxValue="117312202"/>
    </cacheField>
    <cacheField name="Dom_LF" numFmtId="0">
      <sharedItems containsSemiMixedTypes="0" containsString="0" containsNumber="1" minValue="13.09" maxValue="89.96"/>
    </cacheField>
    <cacheField name="Int_LF" numFmtId="0">
      <sharedItems containsSemiMixedTypes="0" containsString="0" containsNumber="1" minValue="23.15" maxValue="89.44"/>
    </cacheField>
    <cacheField name="LF" numFmtId="0">
      <sharedItems containsSemiMixedTypes="0" containsString="0" containsNumber="1" minValue="13.83" maxValue="89.14"/>
    </cacheField>
    <cacheField name="Date" numFmtId="14">
      <sharedItems containsSemiMixedTypes="0" containsNonDate="0" containsDate="1" containsString="0" minDate="2003-01-01T00:00:00" maxDate="2023-09-02T00:00:00"/>
    </cacheField>
    <cacheField name="Season2"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n v="2003"/>
    <x v="0"/>
    <s v="Winter"/>
    <n v="1"/>
    <n v="43032450"/>
    <n v="4905830"/>
    <n v="47938280"/>
    <n v="785160"/>
    <n v="57667"/>
    <n v="842827"/>
    <n v="36211422"/>
    <n v="12885980"/>
    <n v="49097402"/>
    <n v="56191300"/>
    <n v="17968572"/>
    <n v="74159872"/>
    <n v="64.44"/>
    <n v="71.709999999999994"/>
    <n v="66.2"/>
    <d v="2003-01-01T00:00:00"/>
  </r>
  <r>
    <n v="2003"/>
    <x v="1"/>
    <s v="Winter"/>
    <n v="1"/>
    <n v="41166780"/>
    <n v="4245366"/>
    <n v="45412146"/>
    <n v="690351"/>
    <n v="51259"/>
    <n v="741610"/>
    <n v="34148439"/>
    <n v="10715468"/>
    <n v="44863907"/>
    <n v="50088434"/>
    <n v="15587880"/>
    <n v="65676314"/>
    <n v="68.180000000000007"/>
    <n v="68.739999999999995"/>
    <n v="68.31"/>
    <d v="2003-02-01T00:00:00"/>
  </r>
  <r>
    <n v="2003"/>
    <x v="2"/>
    <s v="Spring"/>
    <n v="1"/>
    <n v="49992700"/>
    <n v="5008613"/>
    <n v="55001313"/>
    <n v="797194"/>
    <n v="58926"/>
    <n v="856120"/>
    <n v="41774564"/>
    <n v="12567068"/>
    <n v="54341633"/>
    <n v="57592901"/>
    <n v="17753174"/>
    <n v="75346075"/>
    <n v="72.53"/>
    <n v="70.790000000000006"/>
    <n v="72.12"/>
    <d v="2003-03-01T00:00:00"/>
  </r>
  <r>
    <n v="2003"/>
    <x v="3"/>
    <s v="Spring"/>
    <n v="1"/>
    <n v="47033260"/>
    <n v="4345444"/>
    <n v="51378704"/>
    <n v="766260"/>
    <n v="55005"/>
    <n v="821265"/>
    <n v="39465980"/>
    <n v="10370592"/>
    <n v="49836572"/>
    <n v="54639679"/>
    <n v="15528761"/>
    <n v="70168440"/>
    <n v="72.23"/>
    <n v="66.78"/>
    <n v="71.02"/>
    <d v="2003-04-01T00:00:00"/>
  </r>
  <r>
    <n v="2003"/>
    <x v="4"/>
    <s v="Spring"/>
    <n v="1"/>
    <n v="49152352"/>
    <n v="4610834"/>
    <n v="53763186"/>
    <n v="789397"/>
    <n v="55265"/>
    <n v="844662"/>
    <n v="41001934"/>
    <n v="11575026"/>
    <n v="52576960"/>
    <n v="55349897"/>
    <n v="15629821"/>
    <n v="70979718"/>
    <n v="74.08"/>
    <n v="74.06"/>
    <n v="74.069999999999993"/>
    <d v="2003-05-01T00:00:00"/>
  </r>
  <r>
    <n v="2003"/>
    <x v="5"/>
    <s v="Summer"/>
    <n v="1"/>
    <n v="52209516"/>
    <n v="5411504"/>
    <n v="57621020"/>
    <n v="798351"/>
    <n v="58225"/>
    <n v="856576"/>
    <n v="44492972"/>
    <n v="13918185"/>
    <n v="58411157"/>
    <n v="56555517"/>
    <n v="17191579"/>
    <n v="73747096"/>
    <n v="78.67"/>
    <n v="80.959999999999994"/>
    <n v="79.2"/>
    <d v="2003-06-01T00:00:00"/>
  </r>
  <r>
    <n v="2003"/>
    <x v="6"/>
    <s v="Summer"/>
    <n v="1"/>
    <n v="55810773"/>
    <n v="6191120"/>
    <n v="62001893"/>
    <n v="831619"/>
    <n v="62957"/>
    <n v="894576"/>
    <n v="48321924"/>
    <n v="15516794"/>
    <n v="63838718"/>
    <n v="59617048"/>
    <n v="18701759"/>
    <n v="78318807"/>
    <n v="81.05"/>
    <n v="82.97"/>
    <n v="81.510000000000005"/>
    <d v="2003-07-01T00:00:00"/>
  </r>
  <r>
    <n v="2003"/>
    <x v="7"/>
    <s v="Summer"/>
    <n v="1"/>
    <n v="53920973"/>
    <n v="6272332"/>
    <n v="60193305"/>
    <n v="830737"/>
    <n v="63760"/>
    <n v="894497"/>
    <n v="46982527"/>
    <n v="15906430"/>
    <n v="62888957"/>
    <n v="59634190"/>
    <n v="19144885"/>
    <n v="78779075"/>
    <n v="78.78"/>
    <n v="83.08"/>
    <n v="79.83"/>
    <d v="2003-08-01T00:00:00"/>
  </r>
  <r>
    <n v="2003"/>
    <x v="8"/>
    <s v="Fall"/>
    <n v="1"/>
    <n v="44213408"/>
    <n v="4824596"/>
    <n v="49038004"/>
    <n v="781804"/>
    <n v="54017"/>
    <n v="835821"/>
    <n v="36819820"/>
    <n v="13570889"/>
    <n v="50390709"/>
    <n v="54973852"/>
    <n v="17820478"/>
    <n v="72794329"/>
    <n v="66.98"/>
    <n v="76.150000000000006"/>
    <n v="69.22"/>
    <d v="2003-09-01T00:00:00"/>
  </r>
  <r>
    <n v="2003"/>
    <x v="9"/>
    <s v="Fall"/>
    <n v="1"/>
    <n v="49944931"/>
    <n v="4920822"/>
    <n v="54865753"/>
    <n v="818308"/>
    <n v="54272"/>
    <n v="872580"/>
    <n v="41480412"/>
    <n v="13447446"/>
    <n v="54927858"/>
    <n v="58001020"/>
    <n v="17694417"/>
    <n v="75695437"/>
    <n v="71.52"/>
    <n v="76"/>
    <n v="72.56"/>
    <d v="2003-10-01T00:00:00"/>
  </r>
  <r>
    <n v="2003"/>
    <x v="10"/>
    <s v="Fall"/>
    <n v="1"/>
    <n v="47059495"/>
    <n v="4845759"/>
    <n v="51905254"/>
    <n v="765842"/>
    <n v="53817"/>
    <n v="819659"/>
    <n v="39333528"/>
    <n v="12817176"/>
    <n v="52150704"/>
    <n v="55785892"/>
    <n v="16801272"/>
    <n v="72587163"/>
    <n v="70.510000000000005"/>
    <n v="76.290000000000006"/>
    <n v="71.849999999999994"/>
    <d v="2003-11-01T00:00:00"/>
  </r>
  <r>
    <n v="2003"/>
    <x v="11"/>
    <s v="Fall"/>
    <n v="1"/>
    <n v="49757124"/>
    <n v="5358991"/>
    <n v="55116115"/>
    <n v="798392"/>
    <n v="57578"/>
    <n v="855970"/>
    <n v="42699596"/>
    <n v="13929565"/>
    <n v="56629161"/>
    <n v="58842551"/>
    <n v="17648530"/>
    <n v="76491081"/>
    <n v="72.569999999999993"/>
    <n v="78.930000000000007"/>
    <n v="74.03"/>
    <d v="2003-12-01T00:00:00"/>
  </r>
  <r>
    <n v="2004"/>
    <x v="0"/>
    <s v="Winter"/>
    <n v="1"/>
    <n v="43815481"/>
    <n v="5255246"/>
    <n v="49070727"/>
    <n v="787237"/>
    <n v="58293"/>
    <n v="845530"/>
    <n v="38114607"/>
    <n v="13515639"/>
    <n v="51630246"/>
    <n v="58306593"/>
    <n v="17988081"/>
    <n v="76294673"/>
    <n v="65.37"/>
    <n v="75.14"/>
    <n v="67.67"/>
    <d v="2004-01-01T00:00:00"/>
  </r>
  <r>
    <n v="2004"/>
    <x v="1"/>
    <s v="Winter"/>
    <n v="1"/>
    <n v="45306597"/>
    <n v="4941629"/>
    <n v="50248226"/>
    <n v="761618"/>
    <n v="55822"/>
    <n v="817440"/>
    <n v="38575084"/>
    <n v="12153432"/>
    <n v="50728516"/>
    <n v="56180696"/>
    <n v="16923112"/>
    <n v="73103808"/>
    <n v="68.66"/>
    <n v="71.819999999999993"/>
    <n v="69.39"/>
    <d v="2004-02-01T00:00:00"/>
  </r>
  <r>
    <n v="2004"/>
    <x v="2"/>
    <s v="Spring"/>
    <n v="1"/>
    <n v="54147227"/>
    <n v="5805703"/>
    <n v="59952930"/>
    <n v="834476"/>
    <n v="60649"/>
    <n v="895125"/>
    <n v="46507739"/>
    <n v="14735428"/>
    <n v="61243168"/>
    <n v="61833579"/>
    <n v="18362220"/>
    <n v="80195799"/>
    <n v="75.209999999999994"/>
    <n v="80.25"/>
    <n v="76.37"/>
    <d v="2004-03-01T00:00:00"/>
  </r>
  <r>
    <n v="2004"/>
    <x v="3"/>
    <s v="Spring"/>
    <n v="1"/>
    <n v="53253194"/>
    <n v="5664027"/>
    <n v="58917221"/>
    <n v="817899"/>
    <n v="60455"/>
    <n v="878354"/>
    <n v="45795662"/>
    <n v="14338191"/>
    <n v="60133853"/>
    <n v="60067863"/>
    <n v="18457525"/>
    <n v="78525388"/>
    <n v="76.239999999999995"/>
    <n v="77.680000000000007"/>
    <n v="76.58"/>
    <d v="2004-04-01T00:00:00"/>
  </r>
  <r>
    <n v="2004"/>
    <x v="4"/>
    <s v="Spring"/>
    <n v="1"/>
    <n v="53030873"/>
    <n v="5767517"/>
    <n v="58798390"/>
    <n v="833350"/>
    <n v="62596"/>
    <n v="895946"/>
    <n v="45350262"/>
    <n v="15388457"/>
    <n v="60738719"/>
    <n v="60923099"/>
    <n v="19844360"/>
    <n v="80767459"/>
    <n v="74.44"/>
    <n v="77.55"/>
    <n v="75.2"/>
    <d v="2004-05-01T00:00:00"/>
  </r>
  <r>
    <n v="2004"/>
    <x v="5"/>
    <s v="Summer"/>
    <n v="1"/>
    <n v="56959142"/>
    <n v="6405771"/>
    <n v="63364913"/>
    <n v="836916"/>
    <n v="64256"/>
    <n v="901172"/>
    <n v="49774219"/>
    <n v="17006831"/>
    <n v="66781050"/>
    <n v="61629864"/>
    <n v="20355959"/>
    <n v="81985822"/>
    <n v="80.760000000000005"/>
    <n v="83.55"/>
    <n v="81.45"/>
    <d v="2004-06-01T00:00:00"/>
  </r>
  <r>
    <n v="2004"/>
    <x v="6"/>
    <s v="Summer"/>
    <n v="1"/>
    <n v="59614287"/>
    <n v="7183275"/>
    <n v="66797562"/>
    <n v="871049"/>
    <n v="69890"/>
    <n v="940939"/>
    <n v="52730292"/>
    <n v="18182782"/>
    <n v="70913074"/>
    <n v="64095669"/>
    <n v="21731193"/>
    <n v="85826863"/>
    <n v="82.27"/>
    <n v="83.67"/>
    <n v="82.62"/>
    <d v="2004-07-01T00:00:00"/>
  </r>
  <r>
    <n v="2004"/>
    <x v="7"/>
    <s v="Summer"/>
    <n v="1"/>
    <n v="57380873"/>
    <n v="6986797"/>
    <n v="64367670"/>
    <n v="882979"/>
    <n v="68332"/>
    <n v="951311"/>
    <n v="50816430"/>
    <n v="17760431"/>
    <n v="68576861"/>
    <n v="64479721"/>
    <n v="21640665"/>
    <n v="86120386"/>
    <n v="78.81"/>
    <n v="82.07"/>
    <n v="79.63"/>
    <d v="2004-08-01T00:00:00"/>
  </r>
  <r>
    <n v="2004"/>
    <x v="8"/>
    <s v="Fall"/>
    <n v="1"/>
    <n v="47671785"/>
    <n v="5396245"/>
    <n v="53068030"/>
    <n v="819294"/>
    <n v="56541"/>
    <n v="875835"/>
    <n v="40644161"/>
    <n v="15247819"/>
    <n v="55891980"/>
    <n v="57694884"/>
    <n v="19502122"/>
    <n v="77197006"/>
    <n v="70.45"/>
    <n v="78.19"/>
    <n v="72.400000000000006"/>
    <d v="2004-09-01T00:00:00"/>
  </r>
  <r>
    <n v="2004"/>
    <x v="9"/>
    <s v="Fall"/>
    <n v="1"/>
    <n v="54167489"/>
    <n v="5629964"/>
    <n v="59797453"/>
    <n v="861291"/>
    <n v="58659"/>
    <n v="919950"/>
    <n v="45765588"/>
    <n v="15384002"/>
    <n v="61149590"/>
    <n v="61604719"/>
    <n v="19883889"/>
    <n v="81488607"/>
    <n v="74.290000000000006"/>
    <n v="77.37"/>
    <n v="75.040000000000006"/>
    <d v="2004-10-01T00:00:00"/>
  </r>
  <r>
    <n v="2004"/>
    <x v="10"/>
    <s v="Fall"/>
    <n v="1"/>
    <n v="51781700"/>
    <n v="5384214"/>
    <n v="57165914"/>
    <n v="820048"/>
    <n v="58312"/>
    <n v="878360"/>
    <n v="43561708"/>
    <n v="14118725"/>
    <n v="57680434"/>
    <n v="59431353"/>
    <n v="18848375"/>
    <n v="78279728"/>
    <n v="73.3"/>
    <n v="74.91"/>
    <n v="73.69"/>
    <d v="2004-11-01T00:00:00"/>
  </r>
  <r>
    <n v="2004"/>
    <x v="11"/>
    <s v="Fall"/>
    <n v="1"/>
    <n v="52639838"/>
    <n v="6041853"/>
    <n v="58681691"/>
    <n v="836232"/>
    <n v="63469"/>
    <n v="899701"/>
    <n v="45181080"/>
    <n v="15523403"/>
    <n v="60704483"/>
    <n v="62054841"/>
    <n v="20254013"/>
    <n v="82308853"/>
    <n v="72.81"/>
    <n v="76.64"/>
    <n v="73.75"/>
    <d v="2004-12-01T00:00:00"/>
  </r>
  <r>
    <n v="2005"/>
    <x v="0"/>
    <s v="Winter"/>
    <n v="1"/>
    <n v="47977657"/>
    <n v="6158509"/>
    <n v="54136166"/>
    <n v="807338"/>
    <n v="64803"/>
    <n v="872141"/>
    <n v="41609095"/>
    <n v="15580719"/>
    <n v="57189815"/>
    <n v="59580514"/>
    <n v="20571388"/>
    <n v="80151902"/>
    <n v="69.84"/>
    <n v="75.739999999999995"/>
    <n v="71.349999999999994"/>
    <d v="2005-01-01T00:00:00"/>
  </r>
  <r>
    <n v="2005"/>
    <x v="1"/>
    <s v="Winter"/>
    <n v="1"/>
    <n v="47074882"/>
    <n v="5499590"/>
    <n v="52574472"/>
    <n v="760955"/>
    <n v="59351"/>
    <n v="820306"/>
    <n v="40114944"/>
    <n v="13470430"/>
    <n v="53585374"/>
    <n v="55964342"/>
    <n v="18651403"/>
    <n v="74615745"/>
    <n v="71.680000000000007"/>
    <n v="72.22"/>
    <n v="71.819999999999993"/>
    <d v="2005-02-01T00:00:00"/>
  </r>
  <r>
    <n v="2005"/>
    <x v="2"/>
    <s v="Spring"/>
    <n v="1"/>
    <n v="58838975"/>
    <n v="6964313"/>
    <n v="65803288"/>
    <n v="866593"/>
    <n v="68802"/>
    <n v="935395"/>
    <n v="50789921"/>
    <n v="17293704"/>
    <n v="68083625"/>
    <n v="63743171"/>
    <n v="21201138"/>
    <n v="84944309"/>
    <n v="79.680000000000007"/>
    <n v="81.569999999999993"/>
    <n v="80.150000000000006"/>
    <d v="2005-03-01T00:00:00"/>
  </r>
  <r>
    <n v="2005"/>
    <x v="3"/>
    <s v="Spring"/>
    <n v="1"/>
    <n v="54908859"/>
    <n v="6388741"/>
    <n v="61297600"/>
    <n v="838122"/>
    <n v="66430"/>
    <n v="904552"/>
    <n v="47002623"/>
    <n v="16218686"/>
    <n v="63221309"/>
    <n v="61262216"/>
    <n v="20990887"/>
    <n v="82253103"/>
    <n v="76.72"/>
    <n v="77.27"/>
    <n v="76.86"/>
    <d v="2005-04-01T00:00:00"/>
  </r>
  <r>
    <n v="2005"/>
    <x v="4"/>
    <s v="Spring"/>
    <n v="1"/>
    <n v="57323876"/>
    <n v="6575254"/>
    <n v="63899130"/>
    <n v="872961"/>
    <n v="68225"/>
    <n v="941186"/>
    <n v="49016422"/>
    <n v="17394296"/>
    <n v="66410718"/>
    <n v="63160148"/>
    <n v="21943039"/>
    <n v="85103187"/>
    <n v="77.61"/>
    <n v="79.27"/>
    <n v="78.040000000000006"/>
    <d v="2005-05-01T00:00:00"/>
  </r>
  <r>
    <n v="2005"/>
    <x v="5"/>
    <s v="Summer"/>
    <n v="1"/>
    <n v="59724061"/>
    <n v="7123126"/>
    <n v="66847187"/>
    <n v="863422"/>
    <n v="69814"/>
    <n v="933236"/>
    <n v="52181786"/>
    <n v="18750411"/>
    <n v="70932197"/>
    <n v="63378463"/>
    <n v="22373102"/>
    <n v="85751565"/>
    <n v="82.33"/>
    <n v="83.81"/>
    <n v="82.72"/>
    <d v="2005-06-01T00:00:00"/>
  </r>
  <r>
    <n v="2005"/>
    <x v="6"/>
    <s v="Summer"/>
    <n v="1"/>
    <n v="62396446"/>
    <n v="7867346"/>
    <n v="70263792"/>
    <n v="887084"/>
    <n v="74818"/>
    <n v="961902"/>
    <n v="55290372"/>
    <n v="20037449"/>
    <n v="75327821"/>
    <n v="65813398"/>
    <n v="23792009"/>
    <n v="89605407"/>
    <n v="84.01"/>
    <n v="84.22"/>
    <n v="84.07"/>
    <d v="2005-07-01T00:00:00"/>
  </r>
  <r>
    <n v="2005"/>
    <x v="7"/>
    <s v="Summer"/>
    <n v="1"/>
    <n v="59110633"/>
    <n v="7419187"/>
    <n v="66529820"/>
    <n v="890938"/>
    <n v="73164"/>
    <n v="964102"/>
    <n v="52510003"/>
    <n v="19205090"/>
    <n v="71715093"/>
    <n v="65309256"/>
    <n v="23418626"/>
    <n v="88727882"/>
    <n v="80.400000000000006"/>
    <n v="82.01"/>
    <n v="80.83"/>
    <d v="2005-08-01T00:00:00"/>
  </r>
  <r>
    <n v="2005"/>
    <x v="8"/>
    <s v="Fall"/>
    <n v="1"/>
    <n v="50600325"/>
    <n v="5933841"/>
    <n v="56534166"/>
    <n v="814935"/>
    <n v="61812"/>
    <n v="876747"/>
    <n v="43524915"/>
    <n v="16631990"/>
    <n v="60156904"/>
    <n v="58674828"/>
    <n v="21425051"/>
    <n v="80099879"/>
    <n v="74.180000000000007"/>
    <n v="77.63"/>
    <n v="75.099999999999994"/>
    <d v="2005-09-01T00:00:00"/>
  </r>
  <r>
    <n v="2005"/>
    <x v="9"/>
    <s v="Fall"/>
    <n v="1"/>
    <n v="53738093"/>
    <n v="5873755"/>
    <n v="59611848"/>
    <n v="831265"/>
    <n v="61017"/>
    <n v="892282"/>
    <n v="45895538"/>
    <n v="16089364"/>
    <n v="61984902"/>
    <n v="60392331"/>
    <n v="21033727"/>
    <n v="81426057"/>
    <n v="76"/>
    <n v="76.489999999999995"/>
    <n v="76.12"/>
    <d v="2005-10-01T00:00:00"/>
  </r>
  <r>
    <n v="2005"/>
    <x v="10"/>
    <s v="Fall"/>
    <n v="1"/>
    <n v="52766404"/>
    <n v="5644497"/>
    <n v="58410901"/>
    <n v="797460"/>
    <n v="59265"/>
    <n v="856725"/>
    <n v="45109831"/>
    <n v="14771787"/>
    <n v="59881618"/>
    <n v="58886853"/>
    <n v="19401869"/>
    <n v="78288722"/>
    <n v="76.599999999999994"/>
    <n v="76.14"/>
    <n v="76.489999999999995"/>
    <d v="2005-11-01T00:00:00"/>
  </r>
  <r>
    <n v="2005"/>
    <x v="11"/>
    <s v="Fall"/>
    <n v="1"/>
    <n v="52801276"/>
    <n v="6395022"/>
    <n v="59196298"/>
    <n v="802067"/>
    <n v="65240"/>
    <n v="867307"/>
    <n v="46190194"/>
    <n v="16339078"/>
    <n v="62529273"/>
    <n v="60889086"/>
    <n v="21153995"/>
    <n v="82043081"/>
    <n v="75.86"/>
    <n v="77.239999999999995"/>
    <n v="76.22"/>
    <d v="2005-12-01T00:00:00"/>
  </r>
  <r>
    <n v="2006"/>
    <x v="0"/>
    <s v="Winter"/>
    <n v="1"/>
    <n v="48886043"/>
    <n v="6402933"/>
    <n v="55288976"/>
    <n v="785364"/>
    <n v="66236"/>
    <n v="851600"/>
    <n v="42966268"/>
    <n v="16157877"/>
    <n v="59124144"/>
    <n v="59096204"/>
    <n v="21396430"/>
    <n v="80492634"/>
    <n v="72.709999999999994"/>
    <n v="75.52"/>
    <n v="73.45"/>
    <d v="2006-01-01T00:00:00"/>
  </r>
  <r>
    <n v="2006"/>
    <x v="1"/>
    <s v="Winter"/>
    <n v="1"/>
    <n v="47348142"/>
    <n v="5706909"/>
    <n v="53055051"/>
    <n v="715843"/>
    <n v="60661"/>
    <n v="776504"/>
    <n v="40927215"/>
    <n v="13913445"/>
    <n v="54840660"/>
    <n v="53733108"/>
    <n v="19241787"/>
    <n v="72974894"/>
    <n v="76.17"/>
    <n v="72.31"/>
    <n v="75.150000000000006"/>
    <d v="2006-02-01T00:00:00"/>
  </r>
  <r>
    <n v="2006"/>
    <x v="2"/>
    <s v="Spring"/>
    <n v="1"/>
    <n v="58286011"/>
    <n v="7221839"/>
    <n v="65507850"/>
    <n v="823793"/>
    <n v="70264"/>
    <n v="894057"/>
    <n v="50693391"/>
    <n v="18095206"/>
    <n v="68788597"/>
    <n v="62257065"/>
    <n v="22367092"/>
    <n v="84624157"/>
    <n v="81.430000000000007"/>
    <n v="80.900000000000006"/>
    <n v="81.290000000000006"/>
    <d v="2006-03-01T00:00:00"/>
  </r>
  <r>
    <n v="2006"/>
    <x v="3"/>
    <s v="Spring"/>
    <n v="1"/>
    <n v="55828555"/>
    <n v="7036629"/>
    <n v="62865184"/>
    <n v="794390"/>
    <n v="68537"/>
    <n v="862927"/>
    <n v="48800883"/>
    <n v="17685346"/>
    <n v="66486229"/>
    <n v="59917615"/>
    <n v="22246457"/>
    <n v="82164072"/>
    <n v="81.45"/>
    <n v="79.5"/>
    <n v="80.92"/>
    <d v="2006-04-01T00:00:00"/>
  </r>
  <r>
    <n v="2006"/>
    <x v="4"/>
    <s v="Spring"/>
    <n v="1"/>
    <n v="57145193"/>
    <n v="6997054"/>
    <n v="64142247"/>
    <n v="824051"/>
    <n v="68676"/>
    <n v="892727"/>
    <n v="49302219"/>
    <n v="18465819"/>
    <n v="67768038"/>
    <n v="61284297"/>
    <n v="23102699"/>
    <n v="84386996"/>
    <n v="80.45"/>
    <n v="79.930000000000007"/>
    <n v="80.31"/>
    <d v="2006-05-01T00:00:00"/>
  </r>
  <r>
    <n v="2006"/>
    <x v="5"/>
    <s v="Summer"/>
    <n v="1"/>
    <n v="59297121"/>
    <n v="7625061"/>
    <n v="66922182"/>
    <n v="820310"/>
    <n v="71424"/>
    <n v="891734"/>
    <n v="52200272"/>
    <n v="20275368"/>
    <n v="72475640"/>
    <n v="61692651"/>
    <n v="23821736"/>
    <n v="85514388"/>
    <n v="84.61"/>
    <n v="85.11"/>
    <n v="84.75"/>
    <d v="2006-06-01T00:00:00"/>
  </r>
  <r>
    <n v="2006"/>
    <x v="6"/>
    <s v="Summer"/>
    <n v="1"/>
    <n v="60838606"/>
    <n v="8340003"/>
    <n v="69178609"/>
    <n v="852114"/>
    <n v="76301"/>
    <n v="928415"/>
    <n v="54506446"/>
    <n v="21510904"/>
    <n v="76017350"/>
    <n v="64111164"/>
    <n v="25185579"/>
    <n v="89296743"/>
    <n v="85.02"/>
    <n v="85.41"/>
    <n v="85.13"/>
    <d v="2006-07-01T00:00:00"/>
  </r>
  <r>
    <n v="2006"/>
    <x v="7"/>
    <s v="Summer"/>
    <n v="1"/>
    <n v="58303233"/>
    <n v="7843848"/>
    <n v="66147081"/>
    <n v="866551"/>
    <n v="74735"/>
    <n v="941286"/>
    <n v="52074386"/>
    <n v="20342613"/>
    <n v="72416999"/>
    <n v="64332983"/>
    <n v="24888446"/>
    <n v="89221429"/>
    <n v="80.95"/>
    <n v="81.739999999999995"/>
    <n v="81.17"/>
    <d v="2006-08-01T00:00:00"/>
  </r>
  <r>
    <n v="2006"/>
    <x v="8"/>
    <s v="Fall"/>
    <n v="1"/>
    <n v="49949551"/>
    <n v="6189973"/>
    <n v="56139524"/>
    <n v="799777"/>
    <n v="62710"/>
    <n v="862487"/>
    <n v="43108587"/>
    <n v="17537122"/>
    <n v="60645709"/>
    <n v="58383462"/>
    <n v="22579257"/>
    <n v="80962719"/>
    <n v="73.84"/>
    <n v="77.67"/>
    <n v="74.91"/>
    <d v="2006-09-01T00:00:00"/>
  </r>
  <r>
    <n v="2006"/>
    <x v="9"/>
    <s v="Fall"/>
    <n v="1"/>
    <n v="55088983"/>
    <n v="6281017"/>
    <n v="61370000"/>
    <n v="828218"/>
    <n v="63105"/>
    <n v="891323"/>
    <n v="47137132"/>
    <n v="17365868"/>
    <n v="64503000"/>
    <n v="60802722"/>
    <n v="22654609"/>
    <n v="83457331"/>
    <n v="77.52"/>
    <n v="76.650000000000006"/>
    <n v="77.290000000000006"/>
    <d v="2006-10-01T00:00:00"/>
  </r>
  <r>
    <n v="2006"/>
    <x v="10"/>
    <s v="Fall"/>
    <n v="1"/>
    <n v="53852209"/>
    <n v="6173261"/>
    <n v="60025470"/>
    <n v="792523"/>
    <n v="61823"/>
    <n v="854346"/>
    <n v="45966808"/>
    <n v="16115237"/>
    <n v="62082045"/>
    <n v="58912308"/>
    <n v="20821119"/>
    <n v="79733427"/>
    <n v="78.03"/>
    <n v="77.400000000000006"/>
    <n v="77.86"/>
    <d v="2006-11-01T00:00:00"/>
  </r>
  <r>
    <n v="2006"/>
    <x v="11"/>
    <s v="Fall"/>
    <n v="1"/>
    <n v="53538970"/>
    <n v="6917055"/>
    <n v="60456025"/>
    <n v="805058"/>
    <n v="68978"/>
    <n v="874036"/>
    <n v="46835639"/>
    <n v="17704637"/>
    <n v="64540276"/>
    <n v="61161328"/>
    <n v="22721069"/>
    <n v="83882396"/>
    <n v="76.58"/>
    <n v="77.92"/>
    <n v="76.94"/>
    <d v="2006-12-01T00:00:00"/>
  </r>
  <r>
    <n v="2007"/>
    <x v="0"/>
    <s v="Winter"/>
    <n v="1"/>
    <n v="50022168"/>
    <n v="6854636"/>
    <n v="56876804"/>
    <n v="803924"/>
    <n v="69634"/>
    <n v="873558"/>
    <n v="43823680"/>
    <n v="17450335"/>
    <n v="61274015"/>
    <n v="60618488"/>
    <n v="22960840"/>
    <n v="83579327"/>
    <n v="72.290000000000006"/>
    <n v="76"/>
    <n v="73.31"/>
    <d v="2007-01-01T00:00:00"/>
  </r>
  <r>
    <n v="2007"/>
    <x v="1"/>
    <s v="Winter"/>
    <n v="1"/>
    <n v="47766421"/>
    <n v="6078593"/>
    <n v="53845014"/>
    <n v="724657"/>
    <n v="62711"/>
    <n v="787368"/>
    <n v="41270274"/>
    <n v="15087982"/>
    <n v="56358256"/>
    <n v="54490060"/>
    <n v="20624609"/>
    <n v="75114669"/>
    <n v="75.739999999999995"/>
    <n v="73.16"/>
    <n v="75.03"/>
    <d v="2007-02-01T00:00:00"/>
  </r>
  <r>
    <n v="2007"/>
    <x v="2"/>
    <s v="Spring"/>
    <n v="1"/>
    <n v="59244232"/>
    <n v="7647510"/>
    <n v="66891742"/>
    <n v="830373"/>
    <n v="72367"/>
    <n v="902740"/>
    <n v="51518429"/>
    <n v="19346351"/>
    <n v="70864780"/>
    <n v="63131522"/>
    <n v="23667344"/>
    <n v="86798866"/>
    <n v="81.599999999999994"/>
    <n v="81.739999999999995"/>
    <n v="81.64"/>
    <d v="2007-03-01T00:00:00"/>
  </r>
  <r>
    <n v="2007"/>
    <x v="3"/>
    <s v="Spring"/>
    <n v="1"/>
    <n v="57396328"/>
    <n v="7233785"/>
    <n v="64630113"/>
    <n v="809663"/>
    <n v="70037"/>
    <n v="879700"/>
    <n v="49772604"/>
    <n v="18462964"/>
    <n v="68235568"/>
    <n v="61124424"/>
    <n v="23325666"/>
    <n v="84450090"/>
    <n v="81.430000000000007"/>
    <n v="79.150000000000006"/>
    <n v="80.8"/>
    <d v="2007-04-01T00:00:00"/>
  </r>
  <r>
    <n v="2007"/>
    <x v="4"/>
    <s v="Spring"/>
    <n v="1"/>
    <n v="59283597"/>
    <n v="7244944"/>
    <n v="66528541"/>
    <n v="844074"/>
    <n v="70437"/>
    <n v="914511"/>
    <n v="51031835"/>
    <n v="19341759"/>
    <n v="70373594"/>
    <n v="62774346"/>
    <n v="24370452"/>
    <n v="87144798"/>
    <n v="81.290000000000006"/>
    <n v="79.37"/>
    <n v="80.75"/>
    <d v="2007-05-01T00:00:00"/>
  </r>
  <r>
    <n v="2007"/>
    <x v="5"/>
    <s v="Summer"/>
    <n v="1"/>
    <n v="61493934"/>
    <n v="7953495"/>
    <n v="69447429"/>
    <n v="832163"/>
    <n v="72797"/>
    <n v="904960"/>
    <n v="54018698"/>
    <n v="21325672"/>
    <n v="75344370"/>
    <n v="62620840"/>
    <n v="25295941"/>
    <n v="87916781"/>
    <n v="86.26"/>
    <n v="84.3"/>
    <n v="85.7"/>
    <d v="2007-06-01T00:00:00"/>
  </r>
  <r>
    <n v="2007"/>
    <x v="6"/>
    <s v="Summer"/>
    <n v="1"/>
    <n v="63457403"/>
    <n v="8696119"/>
    <n v="72153522"/>
    <n v="863658"/>
    <n v="77533"/>
    <n v="941191"/>
    <n v="56572990"/>
    <n v="22709269"/>
    <n v="79282259"/>
    <n v="65566709"/>
    <n v="26624388"/>
    <n v="92191098"/>
    <n v="86.28"/>
    <n v="85.29"/>
    <n v="86"/>
    <d v="2007-07-01T00:00:00"/>
  </r>
  <r>
    <n v="2007"/>
    <x v="7"/>
    <s v="Summer"/>
    <n v="1"/>
    <n v="62657667"/>
    <n v="8429481"/>
    <n v="71087148"/>
    <n v="872349"/>
    <n v="76818"/>
    <n v="949167"/>
    <n v="55682567"/>
    <n v="22060730"/>
    <n v="77743296"/>
    <n v="65556234"/>
    <n v="26525647"/>
    <n v="92081881"/>
    <n v="84.94"/>
    <n v="83.17"/>
    <n v="84.43"/>
    <d v="2007-08-01T00:00:00"/>
  </r>
  <r>
    <n v="2007"/>
    <x v="8"/>
    <s v="Fall"/>
    <n v="1"/>
    <n v="52308015"/>
    <n v="6665909"/>
    <n v="58973924"/>
    <n v="805066"/>
    <n v="64283"/>
    <n v="869349"/>
    <n v="45240419"/>
    <n v="18994703"/>
    <n v="64235122"/>
    <n v="59796275"/>
    <n v="23883235"/>
    <n v="83679510"/>
    <n v="75.66"/>
    <n v="79.53"/>
    <n v="76.760000000000005"/>
    <d v="2007-09-01T00:00:00"/>
  </r>
  <r>
    <n v="2007"/>
    <x v="9"/>
    <s v="Fall"/>
    <n v="1"/>
    <n v="57206249"/>
    <n v="6734727"/>
    <n v="63940976"/>
    <n v="841179"/>
    <n v="64536"/>
    <n v="905715"/>
    <n v="49069269"/>
    <n v="18762030"/>
    <n v="67831299"/>
    <n v="62497723"/>
    <n v="23713623"/>
    <n v="86211346"/>
    <n v="78.510000000000005"/>
    <n v="79.12"/>
    <n v="78.680000000000007"/>
    <d v="2007-10-01T00:00:00"/>
  </r>
  <r>
    <n v="2007"/>
    <x v="10"/>
    <s v="Fall"/>
    <n v="1"/>
    <n v="55044206"/>
    <n v="6616131"/>
    <n v="61660337"/>
    <n v="804635"/>
    <n v="64236"/>
    <n v="868871"/>
    <n v="47256388"/>
    <n v="17508412"/>
    <n v="64764800"/>
    <n v="60801594"/>
    <n v="22421800"/>
    <n v="83223395"/>
    <n v="77.72"/>
    <n v="78.09"/>
    <n v="77.819999999999993"/>
    <d v="2007-11-01T00:00:00"/>
  </r>
  <r>
    <n v="2007"/>
    <x v="11"/>
    <s v="Fall"/>
    <n v="1"/>
    <n v="53288538"/>
    <n v="7302494"/>
    <n v="60591032"/>
    <n v="803981"/>
    <n v="70325"/>
    <n v="874306"/>
    <n v="47070645"/>
    <n v="19121625"/>
    <n v="66192270"/>
    <n v="62270682"/>
    <n v="24391947"/>
    <n v="86662629"/>
    <n v="75.59"/>
    <n v="78.39"/>
    <n v="76.38"/>
    <d v="2007-12-01T00:00:00"/>
  </r>
  <r>
    <n v="2008"/>
    <x v="0"/>
    <s v="Winter"/>
    <n v="1"/>
    <n v="50245100"/>
    <n v="7214702"/>
    <n v="57459802"/>
    <n v="793275"/>
    <n v="70805"/>
    <n v="864080"/>
    <n v="44233383"/>
    <n v="18682398"/>
    <n v="62915780"/>
    <n v="60635551"/>
    <n v="24474296"/>
    <n v="85109847"/>
    <n v="72.95"/>
    <n v="76.33"/>
    <n v="73.92"/>
    <d v="2008-01-01T00:00:00"/>
  </r>
  <r>
    <n v="2008"/>
    <x v="1"/>
    <s v="Winter"/>
    <n v="1"/>
    <n v="50118363"/>
    <n v="6691283"/>
    <n v="56809646"/>
    <n v="746679"/>
    <n v="66402"/>
    <n v="813081"/>
    <n v="43429251"/>
    <n v="16602844"/>
    <n v="60032096"/>
    <n v="57170275"/>
    <n v="22832413"/>
    <n v="80002688"/>
    <n v="75.959999999999994"/>
    <n v="72.72"/>
    <n v="75.040000000000006"/>
    <d v="2008-02-01T00:00:00"/>
  </r>
  <r>
    <n v="2008"/>
    <x v="2"/>
    <s v="Spring"/>
    <n v="1"/>
    <n v="59213077"/>
    <n v="8257253"/>
    <n v="67470330"/>
    <n v="817511"/>
    <n v="74449"/>
    <n v="891960"/>
    <n v="52016986"/>
    <n v="20818061"/>
    <n v="72835047"/>
    <n v="63249344"/>
    <n v="25295113"/>
    <n v="88544457"/>
    <n v="82.24"/>
    <n v="82.3"/>
    <n v="82.26"/>
    <d v="2008-03-01T00:00:00"/>
  </r>
  <r>
    <n v="2008"/>
    <x v="3"/>
    <s v="Spring"/>
    <n v="1"/>
    <n v="55611053"/>
    <n v="7361463"/>
    <n v="62972516"/>
    <n v="799664"/>
    <n v="70840"/>
    <n v="870504"/>
    <n v="48189445"/>
    <n v="19238317"/>
    <n v="67427762"/>
    <n v="60127860"/>
    <n v="24913253"/>
    <n v="85041112"/>
    <n v="80.14"/>
    <n v="77.22"/>
    <n v="79.290000000000006"/>
    <d v="2008-04-01T00:00:00"/>
  </r>
  <r>
    <n v="2008"/>
    <x v="4"/>
    <s v="Spring"/>
    <n v="1"/>
    <n v="58047400"/>
    <n v="7747506"/>
    <n v="65794906"/>
    <n v="820114"/>
    <n v="71787"/>
    <n v="891901"/>
    <n v="50259912"/>
    <n v="20972031"/>
    <n v="71231943"/>
    <n v="61778284"/>
    <n v="26236332"/>
    <n v="88014616"/>
    <n v="81.36"/>
    <n v="79.94"/>
    <n v="80.930000000000007"/>
    <d v="2008-05-01T00:00:00"/>
  </r>
  <r>
    <n v="2008"/>
    <x v="5"/>
    <s v="Summer"/>
    <n v="1"/>
    <n v="59559171"/>
    <n v="8168145"/>
    <n v="67727316"/>
    <n v="815914"/>
    <n v="72783"/>
    <n v="888697"/>
    <n v="52521309"/>
    <n v="22207049"/>
    <n v="74728358"/>
    <n v="62328392"/>
    <n v="26758910"/>
    <n v="89087301"/>
    <n v="84.27"/>
    <n v="82.99"/>
    <n v="83.88"/>
    <d v="2008-06-01T00:00:00"/>
  </r>
  <r>
    <n v="2008"/>
    <x v="6"/>
    <s v="Summer"/>
    <n v="1"/>
    <n v="61401480"/>
    <n v="8831861"/>
    <n v="70233341"/>
    <n v="844737"/>
    <n v="77244"/>
    <n v="921981"/>
    <n v="54621353"/>
    <n v="23555952"/>
    <n v="78177305"/>
    <n v="64884624"/>
    <n v="28113326"/>
    <n v="92997950"/>
    <n v="84.18"/>
    <n v="83.79"/>
    <n v="84.06"/>
    <d v="2008-07-01T00:00:00"/>
  </r>
  <r>
    <n v="2008"/>
    <x v="7"/>
    <s v="Summer"/>
    <n v="1"/>
    <n v="58966473"/>
    <n v="8629543"/>
    <n v="67596016"/>
    <n v="823517"/>
    <n v="75242"/>
    <n v="898759"/>
    <n v="52643145"/>
    <n v="23162473"/>
    <n v="75805618"/>
    <n v="63117937"/>
    <n v="27931634"/>
    <n v="91049571"/>
    <n v="83.4"/>
    <n v="82.93"/>
    <n v="83.26"/>
    <d v="2008-08-01T00:00:00"/>
  </r>
  <r>
    <n v="2008"/>
    <x v="8"/>
    <s v="Fall"/>
    <n v="1"/>
    <n v="47680001"/>
    <n v="6327854"/>
    <n v="54007855"/>
    <n v="728377"/>
    <n v="59708"/>
    <n v="788085"/>
    <n v="41015589"/>
    <n v="18737440"/>
    <n v="59753028"/>
    <n v="53906431"/>
    <n v="24055799"/>
    <n v="77962230"/>
    <n v="76.09"/>
    <n v="77.89"/>
    <n v="76.64"/>
    <d v="2008-09-01T00:00:00"/>
  </r>
  <r>
    <n v="2008"/>
    <x v="9"/>
    <s v="Fall"/>
    <n v="1"/>
    <n v="52956023"/>
    <n v="6473043"/>
    <n v="59429066"/>
    <n v="758538"/>
    <n v="60997"/>
    <n v="819535"/>
    <n v="44913078"/>
    <n v="18507570"/>
    <n v="63420648"/>
    <n v="56299337"/>
    <n v="23804966"/>
    <n v="80104304"/>
    <n v="79.78"/>
    <n v="77.75"/>
    <n v="79.17"/>
    <d v="2008-10-01T00:00:00"/>
  </r>
  <r>
    <n v="2008"/>
    <x v="10"/>
    <s v="Fall"/>
    <n v="1"/>
    <n v="47658141"/>
    <n v="6167102"/>
    <n v="53825243"/>
    <n v="707246"/>
    <n v="60687"/>
    <n v="767933"/>
    <n v="40578576"/>
    <n v="16552513"/>
    <n v="57131088"/>
    <n v="53450483"/>
    <n v="22297823"/>
    <n v="75748306"/>
    <n v="75.92"/>
    <n v="74.23"/>
    <n v="75.42"/>
    <d v="2008-11-01T00:00:00"/>
  </r>
  <r>
    <n v="2008"/>
    <x v="11"/>
    <s v="Fall"/>
    <n v="1"/>
    <n v="50253658"/>
    <n v="6881238"/>
    <n v="57134896"/>
    <n v="720062"/>
    <n v="65422"/>
    <n v="785484"/>
    <n v="43824845"/>
    <n v="18277979"/>
    <n v="62102823"/>
    <n v="55361168"/>
    <n v="23773025"/>
    <n v="79134193"/>
    <n v="79.16"/>
    <n v="76.89"/>
    <n v="78.48"/>
    <d v="2008-12-01T00:00:00"/>
  </r>
  <r>
    <n v="2009"/>
    <x v="0"/>
    <s v="Winter"/>
    <n v="1"/>
    <n v="44821711"/>
    <n v="6737730"/>
    <n v="51559441"/>
    <n v="709933"/>
    <n v="66971"/>
    <n v="776904"/>
    <n v="39299677"/>
    <n v="17528664"/>
    <n v="56828341"/>
    <n v="53952827"/>
    <n v="23989981"/>
    <n v="77942808"/>
    <n v="72.84"/>
    <n v="73.069999999999993"/>
    <n v="72.91"/>
    <d v="2009-01-01T00:00:00"/>
  </r>
  <r>
    <n v="2009"/>
    <x v="1"/>
    <s v="Winter"/>
    <n v="1"/>
    <n v="43677233"/>
    <n v="5970396"/>
    <n v="49647629"/>
    <n v="659899"/>
    <n v="61219"/>
    <n v="721118"/>
    <n v="37640543"/>
    <n v="14607464"/>
    <n v="52248007"/>
    <n v="49969299"/>
    <n v="21295607"/>
    <n v="71264906"/>
    <n v="75.33"/>
    <n v="68.59"/>
    <n v="73.319999999999993"/>
    <d v="2009-02-01T00:00:00"/>
  </r>
  <r>
    <n v="2009"/>
    <x v="2"/>
    <s v="Spring"/>
    <n v="1"/>
    <n v="53531487"/>
    <n v="7227487"/>
    <n v="60758974"/>
    <n v="747363"/>
    <n v="69764"/>
    <n v="817127"/>
    <n v="46517762"/>
    <n v="18128641"/>
    <n v="64646403"/>
    <n v="57331259"/>
    <n v="24114710"/>
    <n v="81445969"/>
    <n v="81.14"/>
    <n v="75.180000000000007"/>
    <n v="79.37"/>
    <d v="2009-03-01T00:00:00"/>
  </r>
  <r>
    <n v="2009"/>
    <x v="3"/>
    <s v="Spring"/>
    <n v="1"/>
    <n v="52245401"/>
    <n v="7086357"/>
    <n v="59331758"/>
    <n v="728856"/>
    <n v="67069"/>
    <n v="795925"/>
    <n v="45419272"/>
    <n v="18450057"/>
    <n v="63869329"/>
    <n v="55279977"/>
    <n v="23917823"/>
    <n v="79197800"/>
    <n v="82.16"/>
    <n v="77.14"/>
    <n v="80.650000000000006"/>
    <d v="2009-04-01T00:00:00"/>
  </r>
  <r>
    <n v="2009"/>
    <x v="4"/>
    <s v="Spring"/>
    <n v="1"/>
    <n v="52948582"/>
    <n v="6597012"/>
    <n v="59545594"/>
    <n v="748984"/>
    <n v="63841"/>
    <n v="812825"/>
    <n v="45980480"/>
    <n v="18545191"/>
    <n v="64525671"/>
    <n v="56504772"/>
    <n v="24407091"/>
    <n v="80911862"/>
    <n v="81.37"/>
    <n v="75.98"/>
    <n v="79.75"/>
    <d v="2009-05-01T00:00:00"/>
  </r>
  <r>
    <n v="2009"/>
    <x v="5"/>
    <s v="Summer"/>
    <n v="1"/>
    <n v="55898027"/>
    <n v="7460171"/>
    <n v="63358198"/>
    <n v="760136"/>
    <n v="66341"/>
    <n v="826477"/>
    <n v="49290277"/>
    <n v="20784769"/>
    <n v="70075046"/>
    <n v="57716483"/>
    <n v="25414368"/>
    <n v="83130851"/>
    <n v="85.4"/>
    <n v="81.78"/>
    <n v="84.29"/>
    <d v="2009-06-01T00:00:00"/>
  </r>
  <r>
    <n v="2009"/>
    <x v="6"/>
    <s v="Summer"/>
    <n v="1"/>
    <n v="59468957"/>
    <n v="8399115"/>
    <n v="67868072"/>
    <n v="793994"/>
    <n v="71164"/>
    <n v="865158"/>
    <n v="52704797"/>
    <n v="22969194"/>
    <n v="75673991"/>
    <n v="60499991"/>
    <n v="27022263"/>
    <n v="87522254"/>
    <n v="87.12"/>
    <n v="85"/>
    <n v="86.46"/>
    <d v="2009-07-01T00:00:00"/>
  </r>
  <r>
    <n v="2009"/>
    <x v="7"/>
    <s v="Summer"/>
    <n v="1"/>
    <n v="56568180"/>
    <n v="8217868"/>
    <n v="64786048"/>
    <n v="781315"/>
    <n v="70022"/>
    <n v="851337"/>
    <n v="50467288"/>
    <n v="22619720"/>
    <n v="73087008"/>
    <n v="59356980"/>
    <n v="26667531"/>
    <n v="86024512"/>
    <n v="85.02"/>
    <n v="84.82"/>
    <n v="84.96"/>
    <d v="2009-08-01T00:00:00"/>
  </r>
  <r>
    <n v="2009"/>
    <x v="8"/>
    <s v="Fall"/>
    <n v="1"/>
    <n v="48235025"/>
    <n v="6219954"/>
    <n v="54454979"/>
    <n v="709793"/>
    <n v="57696"/>
    <n v="767489"/>
    <n v="41656736"/>
    <n v="18400287"/>
    <n v="60057023"/>
    <n v="52447273"/>
    <n v="22830033"/>
    <n v="75277306"/>
    <n v="79.430000000000007"/>
    <n v="80.599999999999994"/>
    <n v="79.78"/>
    <d v="2009-09-01T00:00:00"/>
  </r>
  <r>
    <n v="2009"/>
    <x v="9"/>
    <s v="Fall"/>
    <n v="1"/>
    <n v="52279405"/>
    <n v="6295084"/>
    <n v="58574489"/>
    <n v="726573"/>
    <n v="58273"/>
    <n v="784846"/>
    <n v="44781574"/>
    <n v="18053025"/>
    <n v="62834599"/>
    <n v="54453800"/>
    <n v="22015791"/>
    <n v="76469591"/>
    <n v="82.24"/>
    <n v="82"/>
    <n v="82.17"/>
    <d v="2009-10-01T00:00:00"/>
  </r>
  <r>
    <n v="2009"/>
    <x v="10"/>
    <s v="Fall"/>
    <n v="1"/>
    <n v="48584832"/>
    <n v="6008261"/>
    <n v="54593093"/>
    <n v="694749"/>
    <n v="58724"/>
    <n v="753473"/>
    <n v="41573015"/>
    <n v="16087062"/>
    <n v="57660077"/>
    <n v="52483155"/>
    <n v="20614479"/>
    <n v="73097634"/>
    <n v="79.209999999999994"/>
    <n v="78.040000000000006"/>
    <n v="78.88"/>
    <d v="2009-11-01T00:00:00"/>
  </r>
  <r>
    <n v="2009"/>
    <x v="11"/>
    <s v="Fall"/>
    <n v="1"/>
    <n v="49793438"/>
    <n v="6892742"/>
    <n v="56686180"/>
    <n v="704840"/>
    <n v="64801"/>
    <n v="769641"/>
    <n v="43650676"/>
    <n v="18175003"/>
    <n v="61825679"/>
    <n v="54631259"/>
    <n v="22325659"/>
    <n v="76956918"/>
    <n v="79.900000000000006"/>
    <n v="81.41"/>
    <n v="80.34"/>
    <d v="2009-12-01T00:00:00"/>
  </r>
  <r>
    <n v="2010"/>
    <x v="0"/>
    <s v="Winter"/>
    <n v="1"/>
    <n v="45501620"/>
    <n v="6816044"/>
    <n v="52317664"/>
    <n v="694852"/>
    <n v="66583"/>
    <n v="761435"/>
    <n v="40301481"/>
    <n v="17841075"/>
    <n v="58142556"/>
    <n v="53795975"/>
    <n v="23088105"/>
    <n v="76884080"/>
    <n v="74.92"/>
    <n v="77.27"/>
    <n v="75.62"/>
    <d v="2010-01-01T00:00:00"/>
  </r>
  <r>
    <n v="2010"/>
    <x v="1"/>
    <s v="Winter"/>
    <n v="1"/>
    <n v="42440614"/>
    <n v="6014415"/>
    <n v="48455029"/>
    <n v="622999"/>
    <n v="59833"/>
    <n v="682832"/>
    <n v="36997641"/>
    <n v="14973899"/>
    <n v="51971540"/>
    <n v="47817552"/>
    <n v="20153781"/>
    <n v="67971333"/>
    <n v="77.37"/>
    <n v="74.3"/>
    <n v="76.459999999999994"/>
    <d v="2010-02-01T00:00:00"/>
  </r>
  <r>
    <n v="2010"/>
    <x v="2"/>
    <s v="Spring"/>
    <n v="1"/>
    <n v="54424077"/>
    <n v="7531317"/>
    <n v="61955394"/>
    <n v="739894"/>
    <n v="69737"/>
    <n v="809631"/>
    <n v="47619591"/>
    <n v="19146484"/>
    <n v="66766075"/>
    <n v="57080653"/>
    <n v="23685717"/>
    <n v="80766370"/>
    <n v="83.43"/>
    <n v="80.84"/>
    <n v="82.67"/>
    <d v="2010-03-01T00:00:00"/>
  </r>
  <r>
    <n v="2010"/>
    <x v="3"/>
    <s v="Spring"/>
    <n v="1"/>
    <n v="52498074"/>
    <n v="6941422"/>
    <n v="59439496"/>
    <n v="722566"/>
    <n v="66054"/>
    <n v="788620"/>
    <n v="45662025"/>
    <n v="17935164"/>
    <n v="63597189"/>
    <n v="55280651"/>
    <n v="22592040"/>
    <n v="77872690"/>
    <n v="82.6"/>
    <n v="79.39"/>
    <n v="81.67"/>
    <d v="2010-04-01T00:00:00"/>
  </r>
  <r>
    <n v="2010"/>
    <x v="4"/>
    <s v="Spring"/>
    <n v="1"/>
    <n v="53842422"/>
    <n v="7402599"/>
    <n v="61245021"/>
    <n v="741574"/>
    <n v="68031"/>
    <n v="809605"/>
    <n v="46953589"/>
    <n v="20542809"/>
    <n v="67496398"/>
    <n v="56898062"/>
    <n v="25079577"/>
    <n v="81977639"/>
    <n v="82.52"/>
    <n v="81.91"/>
    <n v="82.34"/>
    <d v="2010-05-01T00:00:00"/>
  </r>
  <r>
    <n v="2010"/>
    <x v="5"/>
    <s v="Summer"/>
    <n v="1"/>
    <n v="56689853"/>
    <n v="8100494"/>
    <n v="64790347"/>
    <n v="751326"/>
    <n v="70427"/>
    <n v="821753"/>
    <n v="50387611"/>
    <n v="22717510"/>
    <n v="73105121"/>
    <n v="58353230"/>
    <n v="26433891"/>
    <n v="84787121"/>
    <n v="86.35"/>
    <n v="85.94"/>
    <n v="86.22"/>
    <d v="2010-06-01T00:00:00"/>
  </r>
  <r>
    <n v="2010"/>
    <x v="6"/>
    <s v="Summer"/>
    <n v="1"/>
    <n v="59142493"/>
    <n v="9052302"/>
    <n v="68194795"/>
    <n v="782439"/>
    <n v="76123"/>
    <n v="858562"/>
    <n v="53095873"/>
    <n v="24587686"/>
    <n v="77683559"/>
    <n v="61069806"/>
    <n v="28347052"/>
    <n v="89416858"/>
    <n v="86.94"/>
    <n v="86.74"/>
    <n v="86.88"/>
    <d v="2010-07-01T00:00:00"/>
  </r>
  <r>
    <n v="2010"/>
    <x v="7"/>
    <s v="Summer"/>
    <n v="1"/>
    <n v="57370748"/>
    <n v="8646519"/>
    <n v="66017267"/>
    <n v="781423"/>
    <n v="72823"/>
    <n v="854246"/>
    <n v="51439492"/>
    <n v="23775852"/>
    <n v="75215344"/>
    <n v="60357973"/>
    <n v="27771651"/>
    <n v="88129624"/>
    <n v="85.22"/>
    <n v="85.61"/>
    <n v="85.35"/>
    <d v="2010-08-01T00:00:00"/>
  </r>
  <r>
    <n v="2010"/>
    <x v="8"/>
    <s v="Fall"/>
    <n v="1"/>
    <n v="50304708"/>
    <n v="6847457"/>
    <n v="57152165"/>
    <n v="718643"/>
    <n v="60368"/>
    <n v="779011"/>
    <n v="43694603"/>
    <n v="20411172"/>
    <n v="64105775"/>
    <n v="54729805"/>
    <n v="24382358"/>
    <n v="79112164"/>
    <n v="79.84"/>
    <n v="83.71"/>
    <n v="81.03"/>
    <d v="2010-09-01T00:00:00"/>
  </r>
  <r>
    <n v="2010"/>
    <x v="9"/>
    <s v="Fall"/>
    <n v="1"/>
    <n v="54826050"/>
    <n v="7072483"/>
    <n v="61898533"/>
    <n v="737224"/>
    <n v="62454"/>
    <n v="799678"/>
    <n v="47283497"/>
    <n v="20434096"/>
    <n v="67717592"/>
    <n v="56731943"/>
    <n v="24764165"/>
    <n v="81496108"/>
    <n v="83.35"/>
    <n v="82.51"/>
    <n v="83.09"/>
    <d v="2010-10-01T00:00:00"/>
  </r>
  <r>
    <n v="2010"/>
    <x v="10"/>
    <s v="Fall"/>
    <n v="1"/>
    <n v="51420350"/>
    <n v="6510189"/>
    <n v="57930539"/>
    <n v="704372"/>
    <n v="60704"/>
    <n v="765076"/>
    <n v="44351331"/>
    <n v="17630685"/>
    <n v="61982017"/>
    <n v="54609482"/>
    <n v="22486741"/>
    <n v="77096223"/>
    <n v="81.22"/>
    <n v="78.400000000000006"/>
    <n v="80.400000000000006"/>
    <d v="2010-11-01T00:00:00"/>
  </r>
  <r>
    <n v="2010"/>
    <x v="11"/>
    <s v="Fall"/>
    <n v="1"/>
    <n v="51076415"/>
    <n v="7271391"/>
    <n v="58347806"/>
    <n v="702581"/>
    <n v="66014"/>
    <n v="768595"/>
    <n v="45067192"/>
    <n v="19358086"/>
    <n v="64425278"/>
    <n v="55745538"/>
    <n v="24054993"/>
    <n v="79800532"/>
    <n v="80.84"/>
    <n v="80.47"/>
    <n v="80.73"/>
    <d v="2010-12-01T00:00:00"/>
  </r>
  <r>
    <n v="2011"/>
    <x v="0"/>
    <s v="Winter"/>
    <n v="1"/>
    <n v="46304921"/>
    <n v="7155472"/>
    <n v="53460393"/>
    <n v="681152"/>
    <n v="68426"/>
    <n v="749578"/>
    <n v="41187426"/>
    <n v="19013720"/>
    <n v="60201146"/>
    <n v="53804562"/>
    <n v="24876445"/>
    <n v="78681007"/>
    <n v="76.55"/>
    <n v="76.430000000000007"/>
    <n v="76.510000000000005"/>
    <d v="2011-01-01T00:00:00"/>
  </r>
  <r>
    <n v="2011"/>
    <x v="1"/>
    <s v="Winter"/>
    <n v="1"/>
    <n v="43657818"/>
    <n v="6205658"/>
    <n v="49863476"/>
    <n v="625530"/>
    <n v="61615"/>
    <n v="687145"/>
    <n v="38285134"/>
    <n v="15742124"/>
    <n v="54027258"/>
    <n v="49106329"/>
    <n v="22192337"/>
    <n v="71298667"/>
    <n v="77.959999999999994"/>
    <n v="70.930000000000007"/>
    <n v="75.78"/>
    <d v="2011-02-01T00:00:00"/>
  </r>
  <r>
    <n v="2011"/>
    <x v="2"/>
    <s v="Spring"/>
    <n v="1"/>
    <n v="55649428"/>
    <n v="7733473"/>
    <n v="63382901"/>
    <n v="754669"/>
    <n v="71925"/>
    <n v="826594"/>
    <n v="48992221"/>
    <n v="19689006"/>
    <n v="68681228"/>
    <n v="59209942"/>
    <n v="25743795"/>
    <n v="84953737"/>
    <n v="82.74"/>
    <n v="76.48"/>
    <n v="80.849999999999994"/>
    <d v="2011-03-01T00:00:00"/>
  </r>
  <r>
    <n v="2011"/>
    <x v="3"/>
    <s v="Spring"/>
    <n v="1"/>
    <n v="52858479"/>
    <n v="7495073"/>
    <n v="60353552"/>
    <n v="720073"/>
    <n v="68663"/>
    <n v="788736"/>
    <n v="46567364"/>
    <n v="19768711"/>
    <n v="66336076"/>
    <n v="56686501"/>
    <n v="25411596"/>
    <n v="82098097"/>
    <n v="82.15"/>
    <n v="77.790000000000006"/>
    <n v="80.8"/>
    <d v="2011-04-01T00:00:00"/>
  </r>
  <r>
    <n v="2011"/>
    <x v="4"/>
    <s v="Spring"/>
    <n v="1"/>
    <n v="55982234"/>
    <n v="7671950"/>
    <n v="63654184"/>
    <n v="743778"/>
    <n v="67680"/>
    <n v="811458"/>
    <n v="49026667"/>
    <n v="21312827"/>
    <n v="70339494"/>
    <n v="57969795"/>
    <n v="26131180"/>
    <n v="84100975"/>
    <n v="84.57"/>
    <n v="81.56"/>
    <n v="83.64"/>
    <d v="2011-05-01T00:00:00"/>
  </r>
  <r>
    <n v="2011"/>
    <x v="5"/>
    <s v="Summer"/>
    <n v="1"/>
    <n v="57778699"/>
    <n v="8256632"/>
    <n v="66035331"/>
    <n v="756675"/>
    <n v="69903"/>
    <n v="826578"/>
    <n v="51552204"/>
    <n v="23096822"/>
    <n v="74649026"/>
    <n v="59955599"/>
    <n v="27224840"/>
    <n v="87180439"/>
    <n v="85.98"/>
    <n v="84.84"/>
    <n v="85.63"/>
    <d v="2011-06-01T00:00:00"/>
  </r>
  <r>
    <n v="2011"/>
    <x v="6"/>
    <s v="Summer"/>
    <n v="1"/>
    <n v="60310295"/>
    <n v="9384241"/>
    <n v="69694536"/>
    <n v="783811"/>
    <n v="76305"/>
    <n v="860116"/>
    <n v="54459007"/>
    <n v="25415397"/>
    <n v="79874404"/>
    <n v="62492240"/>
    <n v="29384342"/>
    <n v="91876583"/>
    <n v="87.15"/>
    <n v="86.49"/>
    <n v="86.94"/>
    <d v="2011-07-01T00:00:00"/>
  </r>
  <r>
    <n v="2011"/>
    <x v="7"/>
    <s v="Summer"/>
    <n v="1"/>
    <n v="57403835"/>
    <n v="8677482"/>
    <n v="66081317"/>
    <n v="767948"/>
    <n v="71574"/>
    <n v="839522"/>
    <n v="51570688"/>
    <n v="24132052"/>
    <n v="75702739"/>
    <n v="60248852"/>
    <n v="28178615"/>
    <n v="88427467"/>
    <n v="85.6"/>
    <n v="85.64"/>
    <n v="85.61"/>
    <d v="2011-08-01T00:00:00"/>
  </r>
  <r>
    <n v="2011"/>
    <x v="8"/>
    <s v="Fall"/>
    <n v="1"/>
    <n v="50982170"/>
    <n v="6893283"/>
    <n v="57875453"/>
    <n v="706395"/>
    <n v="61645"/>
    <n v="768040"/>
    <n v="44580290"/>
    <n v="20488322"/>
    <n v="65068612"/>
    <n v="54480405"/>
    <n v="24945913"/>
    <n v="79426318"/>
    <n v="81.83"/>
    <n v="82.13"/>
    <n v="81.92"/>
    <d v="2011-09-01T00:00:00"/>
  </r>
  <r>
    <n v="2011"/>
    <x v="9"/>
    <s v="Fall"/>
    <n v="1"/>
    <n v="54124363"/>
    <n v="6884408"/>
    <n v="61008771"/>
    <n v="723222"/>
    <n v="62821"/>
    <n v="786043"/>
    <n v="46972407"/>
    <n v="19893658"/>
    <n v="66866065"/>
    <n v="56160266"/>
    <n v="24800208"/>
    <n v="80960473"/>
    <n v="83.64"/>
    <n v="80.22"/>
    <n v="82.59"/>
    <d v="2011-10-01T00:00:00"/>
  </r>
  <r>
    <n v="2011"/>
    <x v="10"/>
    <s v="Fall"/>
    <n v="1"/>
    <n v="51660083"/>
    <n v="6431880"/>
    <n v="58091963"/>
    <n v="682660"/>
    <n v="60778"/>
    <n v="743438"/>
    <n v="44780150"/>
    <n v="17325552"/>
    <n v="62105702"/>
    <n v="53639815"/>
    <n v="22099606"/>
    <n v="75739421"/>
    <n v="83.48"/>
    <n v="78.400000000000006"/>
    <n v="82"/>
    <d v="2011-11-01T00:00:00"/>
  </r>
  <r>
    <n v="2011"/>
    <x v="11"/>
    <s v="Fall"/>
    <n v="1"/>
    <n v="51534907"/>
    <n v="7331513"/>
    <n v="58866420"/>
    <n v="701348"/>
    <n v="67821"/>
    <n v="769169"/>
    <n v="45673434"/>
    <n v="19339617"/>
    <n v="65013051"/>
    <n v="56330875"/>
    <n v="24186935"/>
    <n v="80517810"/>
    <n v="81.08"/>
    <n v="79.959999999999994"/>
    <n v="80.739999999999995"/>
    <d v="2011-12-01T00:00:00"/>
  </r>
  <r>
    <n v="2012"/>
    <x v="0"/>
    <s v="Winter"/>
    <n v="1"/>
    <n v="47080430"/>
    <n v="7155733"/>
    <n v="54236163"/>
    <n v="677704"/>
    <n v="68013"/>
    <n v="745717"/>
    <n v="41673200"/>
    <n v="18915701"/>
    <n v="60588901"/>
    <n v="53426991"/>
    <n v="24645715"/>
    <n v="78072706"/>
    <n v="78"/>
    <n v="76.75"/>
    <n v="77.61"/>
    <d v="2012-01-01T00:00:00"/>
  </r>
  <r>
    <n v="2012"/>
    <x v="1"/>
    <s v="Winter"/>
    <n v="1"/>
    <n v="46405102"/>
    <n v="6518477"/>
    <n v="52923579"/>
    <n v="647027"/>
    <n v="64878"/>
    <n v="711905"/>
    <n v="40440608"/>
    <n v="16583021"/>
    <n v="57023629"/>
    <n v="51244942"/>
    <n v="23176387"/>
    <n v="74421328"/>
    <n v="78.92"/>
    <n v="71.55"/>
    <n v="76.62"/>
    <d v="2012-02-01T00:00:00"/>
  </r>
  <r>
    <n v="2012"/>
    <x v="2"/>
    <s v="Spring"/>
    <n v="1"/>
    <n v="56200104"/>
    <n v="8059960"/>
    <n v="64260064"/>
    <n v="728636"/>
    <n v="73363"/>
    <n v="801999"/>
    <n v="49693743"/>
    <n v="20638910"/>
    <n v="70332653"/>
    <n v="58846026"/>
    <n v="25826784"/>
    <n v="84672810"/>
    <n v="84.45"/>
    <n v="79.91"/>
    <n v="83.06"/>
    <d v="2012-03-01T00:00:00"/>
  </r>
  <r>
    <n v="2012"/>
    <x v="3"/>
    <s v="Spring"/>
    <n v="1"/>
    <n v="53691455"/>
    <n v="7608446"/>
    <n v="61299901"/>
    <n v="706994"/>
    <n v="68925"/>
    <n v="775919"/>
    <n v="47240808"/>
    <n v="20120006"/>
    <n v="67360814"/>
    <n v="56495318"/>
    <n v="25056043"/>
    <n v="81551361"/>
    <n v="83.62"/>
    <n v="80.3"/>
    <n v="82.6"/>
    <d v="2012-04-01T00:00:00"/>
  </r>
  <r>
    <n v="2012"/>
    <x v="4"/>
    <s v="Spring"/>
    <n v="1"/>
    <n v="55749349"/>
    <n v="7728905"/>
    <n v="63478254"/>
    <n v="725712"/>
    <n v="69813"/>
    <n v="795525"/>
    <n v="49075103"/>
    <n v="21625365"/>
    <n v="70700468"/>
    <n v="58102674"/>
    <n v="26487067"/>
    <n v="84589741"/>
    <n v="84.46"/>
    <n v="81.64"/>
    <n v="83.58"/>
    <d v="2012-05-01T00:00:00"/>
  </r>
  <r>
    <n v="2012"/>
    <x v="5"/>
    <s v="Summer"/>
    <n v="1"/>
    <n v="57903293"/>
    <n v="8509172"/>
    <n v="66412465"/>
    <n v="735084"/>
    <n v="72160"/>
    <n v="807244"/>
    <n v="51958863"/>
    <n v="23588863"/>
    <n v="75547726"/>
    <n v="59980845"/>
    <n v="27267695"/>
    <n v="87248539"/>
    <n v="86.63"/>
    <n v="86.51"/>
    <n v="86.59"/>
    <d v="2012-06-01T00:00:00"/>
  </r>
  <r>
    <n v="2012"/>
    <x v="6"/>
    <s v="Summer"/>
    <n v="1"/>
    <n v="59688267"/>
    <n v="9298946"/>
    <n v="68987213"/>
    <n v="757484"/>
    <n v="76163"/>
    <n v="833647"/>
    <n v="54239648"/>
    <n v="24933954"/>
    <n v="79173602"/>
    <n v="62452527"/>
    <n v="28885438"/>
    <n v="91337965"/>
    <n v="86.85"/>
    <n v="86.32"/>
    <n v="86.68"/>
    <d v="2012-07-01T00:00:00"/>
  </r>
  <r>
    <n v="2012"/>
    <x v="7"/>
    <s v="Summer"/>
    <n v="1"/>
    <n v="58646304"/>
    <n v="8892354"/>
    <n v="67538658"/>
    <n v="753441"/>
    <n v="74196"/>
    <n v="827637"/>
    <n v="52870434"/>
    <n v="24375248"/>
    <n v="77245683"/>
    <n v="61026426"/>
    <n v="28226626"/>
    <n v="89253052"/>
    <n v="86.64"/>
    <n v="86.36"/>
    <n v="86.55"/>
    <d v="2012-08-01T00:00:00"/>
  </r>
  <r>
    <n v="2012"/>
    <x v="8"/>
    <s v="Fall"/>
    <n v="1"/>
    <n v="50134504"/>
    <n v="7098414"/>
    <n v="57232918"/>
    <n v="677990"/>
    <n v="62528"/>
    <n v="740518"/>
    <n v="43861215"/>
    <n v="20931047"/>
    <n v="64792261"/>
    <n v="54386931"/>
    <n v="24996737"/>
    <n v="79383668"/>
    <n v="80.650000000000006"/>
    <n v="83.74"/>
    <n v="81.62"/>
    <d v="2012-09-01T00:00:00"/>
  </r>
  <r>
    <n v="2012"/>
    <x v="9"/>
    <s v="Fall"/>
    <n v="1"/>
    <n v="53779646"/>
    <n v="6952685"/>
    <n v="60732331"/>
    <n v="694712"/>
    <n v="62790"/>
    <n v="757502"/>
    <n v="46661129"/>
    <n v="19851567"/>
    <n v="66512697"/>
    <n v="55378572"/>
    <n v="24322370"/>
    <n v="79700942"/>
    <n v="84.26"/>
    <n v="81.62"/>
    <n v="83.45"/>
    <d v="2012-10-01T00:00:00"/>
  </r>
  <r>
    <n v="2012"/>
    <x v="10"/>
    <s v="Fall"/>
    <n v="1"/>
    <n v="51844482"/>
    <n v="6710058"/>
    <n v="58554540"/>
    <n v="669260"/>
    <n v="61817"/>
    <n v="731077"/>
    <n v="45148868"/>
    <n v="17774579"/>
    <n v="62923447"/>
    <n v="54524126"/>
    <n v="22326176"/>
    <n v="76850301"/>
    <n v="82.81"/>
    <n v="79.61"/>
    <n v="81.88"/>
    <d v="2012-11-01T00:00:00"/>
  </r>
  <r>
    <n v="2012"/>
    <x v="11"/>
    <s v="Fall"/>
    <n v="1"/>
    <n v="51165451"/>
    <n v="7500932"/>
    <n v="58666383"/>
    <n v="670793"/>
    <n v="67858"/>
    <n v="738651"/>
    <n v="45818778"/>
    <n v="19607025"/>
    <n v="65425803"/>
    <n v="56181473"/>
    <n v="24156714"/>
    <n v="80338186"/>
    <n v="81.55"/>
    <n v="81.17"/>
    <n v="81.44"/>
    <d v="2012-12-01T00:00:00"/>
  </r>
  <r>
    <n v="2013"/>
    <x v="0"/>
    <s v="Winter"/>
    <n v="1"/>
    <n v="47816859"/>
    <n v="7331420"/>
    <n v="55148279"/>
    <n v="662014"/>
    <n v="68653"/>
    <n v="730667"/>
    <n v="42716886"/>
    <n v="19226952"/>
    <n v="61943838"/>
    <n v="54130019"/>
    <n v="24414793"/>
    <n v="78544812"/>
    <n v="78.92"/>
    <n v="78.75"/>
    <n v="78.86"/>
    <d v="2013-01-01T00:00:00"/>
  </r>
  <r>
    <n v="2013"/>
    <x v="1"/>
    <s v="Winter"/>
    <n v="1"/>
    <n v="45740158"/>
    <n v="6564112"/>
    <n v="52304270"/>
    <n v="607564"/>
    <n v="62950"/>
    <n v="670514"/>
    <n v="40360477"/>
    <n v="16726427"/>
    <n v="57086904"/>
    <n v="49951073"/>
    <n v="22147136"/>
    <n v="72098209"/>
    <n v="80.8"/>
    <n v="75.52"/>
    <n v="79.180000000000007"/>
    <d v="2013-02-01T00:00:00"/>
  </r>
  <r>
    <n v="2013"/>
    <x v="2"/>
    <s v="Spring"/>
    <n v="1"/>
    <n v="56564538"/>
    <n v="8327386"/>
    <n v="64891924"/>
    <n v="710137"/>
    <n v="73801"/>
    <n v="783938"/>
    <n v="50591912"/>
    <n v="21085987"/>
    <n v="71677898"/>
    <n v="59506857"/>
    <n v="25537593"/>
    <n v="85044451"/>
    <n v="85.02"/>
    <n v="82.57"/>
    <n v="84.28"/>
    <d v="2013-03-01T00:00:00"/>
  </r>
  <r>
    <n v="2013"/>
    <x v="3"/>
    <s v="Spring"/>
    <n v="1"/>
    <n v="53228575"/>
    <n v="7562330"/>
    <n v="60790905"/>
    <n v="693876"/>
    <n v="69117"/>
    <n v="762993"/>
    <n v="47323331"/>
    <n v="20045084"/>
    <n v="67368414"/>
    <n v="57130620"/>
    <n v="25447607"/>
    <n v="82578227"/>
    <n v="82.83"/>
    <n v="78.77"/>
    <n v="81.58"/>
    <d v="2013-04-01T00:00:00"/>
  </r>
  <r>
    <n v="2013"/>
    <x v="4"/>
    <s v="Spring"/>
    <n v="1"/>
    <n v="56562929"/>
    <n v="8023420"/>
    <n v="64586349"/>
    <n v="721429"/>
    <n v="70699"/>
    <n v="792128"/>
    <n v="50124875"/>
    <n v="22377482"/>
    <n v="72502358"/>
    <n v="59071089"/>
    <n v="26997317"/>
    <n v="86068406"/>
    <n v="84.86"/>
    <n v="82.89"/>
    <n v="84.24"/>
    <d v="2013-05-01T00:00:00"/>
  </r>
  <r>
    <n v="2013"/>
    <x v="5"/>
    <s v="Summer"/>
    <n v="1"/>
    <n v="57990789"/>
    <n v="8883643"/>
    <n v="66874432"/>
    <n v="719340"/>
    <n v="72922"/>
    <n v="792262"/>
    <n v="52826886"/>
    <n v="24553427"/>
    <n v="77380313"/>
    <n v="60724524"/>
    <n v="28241852"/>
    <n v="88966376"/>
    <n v="86.99"/>
    <n v="86.94"/>
    <n v="86.98"/>
    <d v="2013-06-01T00:00:00"/>
  </r>
  <r>
    <n v="2013"/>
    <x v="6"/>
    <s v="Summer"/>
    <n v="1"/>
    <n v="59310478"/>
    <n v="9709009"/>
    <n v="69019487"/>
    <n v="751473"/>
    <n v="77429"/>
    <n v="828902"/>
    <n v="54754440"/>
    <n v="26042187"/>
    <n v="80796627"/>
    <n v="63316272"/>
    <n v="29900939"/>
    <n v="93217210"/>
    <n v="86.48"/>
    <n v="87.09"/>
    <n v="86.68"/>
    <d v="2013-07-01T00:00:00"/>
  </r>
  <r>
    <n v="2013"/>
    <x v="7"/>
    <s v="Summer"/>
    <n v="1"/>
    <n v="58115405"/>
    <n v="9403309"/>
    <n v="67518714"/>
    <n v="747070"/>
    <n v="75176"/>
    <n v="822246"/>
    <n v="53123226"/>
    <n v="25714167"/>
    <n v="78837393"/>
    <n v="62097316"/>
    <n v="29469344"/>
    <n v="91566659"/>
    <n v="85.55"/>
    <n v="87.26"/>
    <n v="86.1"/>
    <d v="2013-08-01T00:00:00"/>
  </r>
  <r>
    <n v="2013"/>
    <x v="8"/>
    <s v="Fall"/>
    <n v="1"/>
    <n v="50766098"/>
    <n v="7255037"/>
    <n v="58021135"/>
    <n v="683379"/>
    <n v="62011"/>
    <n v="745390"/>
    <n v="44654213"/>
    <n v="21483923"/>
    <n v="66138136"/>
    <n v="55225708"/>
    <n v="25751134"/>
    <n v="80976841"/>
    <n v="80.86"/>
    <n v="83.43"/>
    <n v="81.680000000000007"/>
    <d v="2013-09-01T00:00:00"/>
  </r>
  <r>
    <n v="2013"/>
    <x v="9"/>
    <s v="Fall"/>
    <n v="1"/>
    <n v="54706177"/>
    <n v="7274427"/>
    <n v="61980604"/>
    <n v="708414"/>
    <n v="64554"/>
    <n v="772968"/>
    <n v="47859063"/>
    <n v="20748717"/>
    <n v="68607779"/>
    <n v="57851883"/>
    <n v="25572700"/>
    <n v="83424583"/>
    <n v="82.73"/>
    <n v="81.14"/>
    <n v="82.24"/>
    <d v="2013-10-01T00:00:00"/>
  </r>
  <r>
    <n v="2013"/>
    <x v="10"/>
    <s v="Fall"/>
    <n v="1"/>
    <n v="50542332"/>
    <n v="6880849"/>
    <n v="57423181"/>
    <n v="655776"/>
    <n v="63286"/>
    <n v="719062"/>
    <n v="44420301"/>
    <n v="18154243"/>
    <n v="62574544"/>
    <n v="55462933"/>
    <n v="23420132"/>
    <n v="78883064"/>
    <n v="80.09"/>
    <n v="77.52"/>
    <n v="79.33"/>
    <d v="2013-11-01T00:00:00"/>
  </r>
  <r>
    <n v="2013"/>
    <x v="11"/>
    <s v="Fall"/>
    <n v="1"/>
    <n v="54332936"/>
    <n v="7967171"/>
    <n v="62300107"/>
    <n v="662288"/>
    <n v="69136"/>
    <n v="731424"/>
    <n v="49132863"/>
    <n v="20735571"/>
    <n v="69868434"/>
    <n v="57751867"/>
    <n v="25019442"/>
    <n v="82771309"/>
    <n v="85.08"/>
    <n v="82.88"/>
    <n v="84.41"/>
    <d v="2013-12-01T00:00:00"/>
  </r>
  <r>
    <n v="2014"/>
    <x v="0"/>
    <s v="Winter"/>
    <n v="1"/>
    <n v="47957371"/>
    <n v="7671576"/>
    <n v="55628947"/>
    <n v="624812"/>
    <n v="68624"/>
    <n v="693436"/>
    <n v="43564242"/>
    <n v="20028742"/>
    <n v="63592984"/>
    <n v="54016077"/>
    <n v="25155594"/>
    <n v="79171671"/>
    <n v="80.650000000000006"/>
    <n v="79.62"/>
    <n v="80.319999999999993"/>
    <d v="2014-01-01T00:00:00"/>
  </r>
  <r>
    <n v="2014"/>
    <x v="1"/>
    <s v="Winter"/>
    <n v="1"/>
    <n v="45513184"/>
    <n v="6770046"/>
    <n v="52283230"/>
    <n v="577191"/>
    <n v="63469"/>
    <n v="640660"/>
    <n v="40543404"/>
    <n v="16936813"/>
    <n v="57480217"/>
    <n v="49369928"/>
    <n v="22614187"/>
    <n v="71984116"/>
    <n v="82.12"/>
    <n v="74.89"/>
    <n v="79.849999999999994"/>
    <d v="2014-02-01T00:00:00"/>
  </r>
  <r>
    <n v="2014"/>
    <x v="2"/>
    <s v="Spring"/>
    <n v="1"/>
    <n v="57761938"/>
    <n v="8503133"/>
    <n v="66265071"/>
    <n v="696376"/>
    <n v="76064"/>
    <n v="772440"/>
    <n v="51862069"/>
    <n v="21310134"/>
    <n v="73172203"/>
    <n v="60675476"/>
    <n v="26884781"/>
    <n v="87560258"/>
    <n v="85.47"/>
    <n v="79.260000000000005"/>
    <n v="83.57"/>
    <d v="2014-03-01T00:00:00"/>
  </r>
  <r>
    <n v="2014"/>
    <x v="3"/>
    <s v="Spring"/>
    <n v="1"/>
    <n v="55247482"/>
    <n v="8094515"/>
    <n v="63341997"/>
    <n v="676337"/>
    <n v="71580"/>
    <n v="747917"/>
    <n v="49245719"/>
    <n v="21103585"/>
    <n v="70349305"/>
    <n v="57998604"/>
    <n v="26343479"/>
    <n v="84342083"/>
    <n v="84.91"/>
    <n v="80.11"/>
    <n v="83.41"/>
    <d v="2014-04-01T00:00:00"/>
  </r>
  <r>
    <n v="2014"/>
    <x v="4"/>
    <s v="Spring"/>
    <n v="1"/>
    <n v="57888637"/>
    <n v="8479378"/>
    <n v="66368015"/>
    <n v="695855"/>
    <n v="72994"/>
    <n v="768849"/>
    <n v="51524009"/>
    <n v="23291494"/>
    <n v="74815503"/>
    <n v="59709929"/>
    <n v="28271254"/>
    <n v="87981183"/>
    <n v="86.29"/>
    <n v="82.39"/>
    <n v="85.04"/>
    <d v="2014-05-01T00:00:00"/>
  </r>
  <r>
    <n v="2014"/>
    <x v="5"/>
    <s v="Summer"/>
    <n v="1"/>
    <n v="59261855"/>
    <n v="9196927"/>
    <n v="68458782"/>
    <n v="701992"/>
    <n v="76431"/>
    <n v="778423"/>
    <n v="53979753"/>
    <n v="25120695"/>
    <n v="79100448"/>
    <n v="61760043"/>
    <n v="29751163"/>
    <n v="91511206"/>
    <n v="87.4"/>
    <n v="84.44"/>
    <n v="86.44"/>
    <d v="2014-06-01T00:00:00"/>
  </r>
  <r>
    <n v="2014"/>
    <x v="6"/>
    <s v="Summer"/>
    <n v="1"/>
    <n v="61757222"/>
    <n v="9988913"/>
    <n v="71746135"/>
    <n v="735424"/>
    <n v="80457"/>
    <n v="815881"/>
    <n v="56874287"/>
    <n v="26435210"/>
    <n v="83309497"/>
    <n v="64773257"/>
    <n v="31266476"/>
    <n v="96039732"/>
    <n v="87.81"/>
    <n v="84.55"/>
    <n v="86.74"/>
    <d v="2014-07-01T00:00:00"/>
  </r>
  <r>
    <n v="2014"/>
    <x v="7"/>
    <s v="Summer"/>
    <n v="1"/>
    <n v="59758814"/>
    <n v="9629317"/>
    <n v="69388131"/>
    <n v="723997"/>
    <n v="76481"/>
    <n v="800478"/>
    <n v="54640338"/>
    <n v="26231520"/>
    <n v="80871859"/>
    <n v="62868005"/>
    <n v="30621247"/>
    <n v="93489252"/>
    <n v="86.91"/>
    <n v="85.66"/>
    <n v="86.5"/>
    <d v="2014-08-01T00:00:00"/>
  </r>
  <r>
    <n v="2014"/>
    <x v="8"/>
    <s v="Fall"/>
    <n v="1"/>
    <n v="52529329"/>
    <n v="7342936"/>
    <n v="59872265"/>
    <n v="665490"/>
    <n v="62408"/>
    <n v="727898"/>
    <n v="46336496"/>
    <n v="21739193"/>
    <n v="68075689"/>
    <n v="56458422"/>
    <n v="26575230"/>
    <n v="83033652"/>
    <n v="82.07"/>
    <n v="81.8"/>
    <n v="81.99"/>
    <d v="2014-09-01T00:00:00"/>
  </r>
  <r>
    <n v="2014"/>
    <x v="9"/>
    <s v="Fall"/>
    <n v="1"/>
    <n v="57084257"/>
    <n v="7286846"/>
    <n v="64371103"/>
    <n v="693925"/>
    <n v="63369"/>
    <n v="757294"/>
    <n v="50112975"/>
    <n v="20835706"/>
    <n v="70948681"/>
    <n v="59584323"/>
    <n v="26072467"/>
    <n v="85656790"/>
    <n v="84.1"/>
    <n v="79.91"/>
    <n v="82.83"/>
    <d v="2014-10-01T00:00:00"/>
  </r>
  <r>
    <n v="2014"/>
    <x v="10"/>
    <s v="Fall"/>
    <n v="1"/>
    <n v="52577733"/>
    <n v="7049844"/>
    <n v="59627577"/>
    <n v="648891"/>
    <n v="64800"/>
    <n v="713691"/>
    <n v="46352174"/>
    <n v="18524898"/>
    <n v="64877072"/>
    <n v="56949527"/>
    <n v="24321971"/>
    <n v="81271498"/>
    <n v="81.39"/>
    <n v="76.17"/>
    <n v="79.83"/>
    <d v="2014-11-01T00:00:00"/>
  </r>
  <r>
    <n v="2014"/>
    <x v="11"/>
    <s v="Fall"/>
    <n v="1"/>
    <n v="55486727"/>
    <n v="8165573"/>
    <n v="63652300"/>
    <n v="666264"/>
    <n v="71191"/>
    <n v="737455"/>
    <n v="50303173"/>
    <n v="21132922"/>
    <n v="71436095"/>
    <n v="60270587"/>
    <n v="26175094"/>
    <n v="86445681"/>
    <n v="83.46"/>
    <n v="80.739999999999995"/>
    <n v="82.64"/>
    <d v="2014-12-01T00:00:00"/>
  </r>
  <r>
    <n v="2015"/>
    <x v="0"/>
    <s v="Winter"/>
    <n v="1"/>
    <n v="49727583"/>
    <n v="7936993"/>
    <n v="57664576"/>
    <n v="634734"/>
    <n v="69893"/>
    <n v="704627"/>
    <n v="45137552"/>
    <n v="20498038"/>
    <n v="65635591"/>
    <n v="56980250"/>
    <n v="26025329"/>
    <n v="83005579"/>
    <n v="79.22"/>
    <n v="78.760000000000005"/>
    <n v="79.069999999999993"/>
    <d v="2015-01-01T00:00:00"/>
  </r>
  <r>
    <n v="2015"/>
    <x v="1"/>
    <s v="Winter"/>
    <n v="1"/>
    <n v="47164538"/>
    <n v="6886262"/>
    <n v="54050800"/>
    <n v="569972"/>
    <n v="62648"/>
    <n v="632620"/>
    <n v="42248126"/>
    <n v="17238321"/>
    <n v="59486447"/>
    <n v="51251150"/>
    <n v="22933198"/>
    <n v="74184348"/>
    <n v="82.43"/>
    <n v="75.17"/>
    <n v="80.19"/>
    <d v="2015-02-01T00:00:00"/>
  </r>
  <r>
    <n v="2015"/>
    <x v="2"/>
    <s v="Spring"/>
    <n v="1"/>
    <n v="59557228"/>
    <n v="8524515"/>
    <n v="68081743"/>
    <n v="683892"/>
    <n v="72926"/>
    <n v="756818"/>
    <n v="53924945"/>
    <n v="21511252"/>
    <n v="75436197"/>
    <n v="62860123"/>
    <n v="27071647"/>
    <n v="89931770"/>
    <n v="85.79"/>
    <n v="79.459999999999994"/>
    <n v="83.88"/>
    <d v="2015-03-01T00:00:00"/>
  </r>
  <r>
    <n v="2015"/>
    <x v="3"/>
    <s v="Spring"/>
    <n v="1"/>
    <n v="57698044"/>
    <n v="8119223"/>
    <n v="65817267"/>
    <n v="669783"/>
    <n v="70846"/>
    <n v="740629"/>
    <n v="51883045"/>
    <n v="20959421"/>
    <n v="72842466"/>
    <n v="61116535"/>
    <n v="27197262"/>
    <n v="88313797"/>
    <n v="84.89"/>
    <n v="77.06"/>
    <n v="82.48"/>
    <d v="2015-04-01T00:00:00"/>
  </r>
  <r>
    <n v="2015"/>
    <x v="4"/>
    <s v="Spring"/>
    <n v="1"/>
    <n v="60251945"/>
    <n v="8567847"/>
    <n v="68819792"/>
    <n v="690116"/>
    <n v="71597"/>
    <n v="761713"/>
    <n v="54255235"/>
    <n v="23490547"/>
    <n v="77745782"/>
    <n v="63393874"/>
    <n v="29064149"/>
    <n v="92458022"/>
    <n v="85.58"/>
    <n v="80.819999999999993"/>
    <n v="84.09"/>
    <d v="2015-05-01T00:00:00"/>
  </r>
  <r>
    <n v="2015"/>
    <x v="5"/>
    <s v="Summer"/>
    <n v="1"/>
    <n v="61810705"/>
    <n v="9352818"/>
    <n v="71163523"/>
    <n v="697378"/>
    <n v="74020"/>
    <n v="771398"/>
    <n v="56994796"/>
    <n v="25448026"/>
    <n v="82442822"/>
    <n v="65232947"/>
    <n v="30162970"/>
    <n v="95395918"/>
    <n v="87.37"/>
    <n v="84.37"/>
    <n v="86.42"/>
    <d v="2015-06-01T00:00:00"/>
  </r>
  <r>
    <n v="2015"/>
    <x v="6"/>
    <s v="Summer"/>
    <n v="1"/>
    <n v="65128528"/>
    <n v="10395270"/>
    <n v="75523798"/>
    <n v="732753"/>
    <n v="78536"/>
    <n v="811289"/>
    <n v="60430804"/>
    <n v="27573804"/>
    <n v="88004608"/>
    <n v="68556515"/>
    <n v="32116607"/>
    <n v="100673122"/>
    <n v="88.15"/>
    <n v="85.86"/>
    <n v="87.42"/>
    <d v="2015-07-01T00:00:00"/>
  </r>
  <r>
    <n v="2015"/>
    <x v="7"/>
    <s v="Summer"/>
    <n v="1"/>
    <n v="62770180"/>
    <n v="9981208"/>
    <n v="72751388"/>
    <n v="723998"/>
    <n v="75991"/>
    <n v="799989"/>
    <n v="57819107"/>
    <n v="27156489"/>
    <n v="84975596"/>
    <n v="66730854"/>
    <n v="31564671"/>
    <n v="98295526"/>
    <n v="86.65"/>
    <n v="86.03"/>
    <n v="86.45"/>
    <d v="2015-08-01T00:00:00"/>
  </r>
  <r>
    <n v="2015"/>
    <x v="8"/>
    <s v="Fall"/>
    <n v="1"/>
    <n v="55989104"/>
    <n v="7656359"/>
    <n v="63645463"/>
    <n v="658392"/>
    <n v="62367"/>
    <n v="720759"/>
    <n v="49857937"/>
    <n v="22404240"/>
    <n v="72262177"/>
    <n v="59511944"/>
    <n v="27510443"/>
    <n v="87022387"/>
    <n v="83.78"/>
    <n v="81.44"/>
    <n v="83.04"/>
    <d v="2015-09-01T00:00:00"/>
  </r>
  <r>
    <n v="2015"/>
    <x v="9"/>
    <s v="Fall"/>
    <n v="1"/>
    <n v="60892131"/>
    <n v="7739519"/>
    <n v="68631650"/>
    <n v="687710"/>
    <n v="63662"/>
    <n v="751372"/>
    <n v="54074370"/>
    <n v="21786470"/>
    <n v="75860840"/>
    <n v="62551345"/>
    <n v="26675237"/>
    <n v="89226582"/>
    <n v="86.45"/>
    <n v="81.67"/>
    <n v="85.02"/>
    <d v="2015-10-01T00:00:00"/>
  </r>
  <r>
    <n v="2015"/>
    <x v="10"/>
    <s v="Fall"/>
    <n v="1"/>
    <n v="57150501"/>
    <n v="7332481"/>
    <n v="64482982"/>
    <n v="651176"/>
    <n v="63492"/>
    <n v="714668"/>
    <n v="50913042"/>
    <n v="18876704"/>
    <n v="69789747"/>
    <n v="60467124"/>
    <n v="24179274"/>
    <n v="84646398"/>
    <n v="84.2"/>
    <n v="78.069999999999993"/>
    <n v="82.45"/>
    <d v="2015-11-01T00:00:00"/>
  </r>
  <r>
    <n v="2015"/>
    <x v="11"/>
    <s v="Fall"/>
    <n v="1"/>
    <n v="57870281"/>
    <n v="8410860"/>
    <n v="66281141"/>
    <n v="659785"/>
    <n v="70945"/>
    <n v="730730"/>
    <n v="53118963"/>
    <n v="21432815"/>
    <n v="74551779"/>
    <n v="63241198"/>
    <n v="26711528"/>
    <n v="89952725"/>
    <n v="83.99"/>
    <n v="80.239999999999995"/>
    <n v="82.88"/>
    <d v="2015-12-01T00:00:00"/>
  </r>
  <r>
    <n v="2016"/>
    <x v="0"/>
    <s v="Winter"/>
    <n v="1"/>
    <n v="52473830"/>
    <n v="8220234"/>
    <n v="60694064"/>
    <n v="636761"/>
    <n v="70476"/>
    <n v="707237"/>
    <n v="48074919"/>
    <n v="20930267"/>
    <n v="69005186"/>
    <n v="59672179"/>
    <n v="26332010"/>
    <n v="86004190"/>
    <n v="80.569999999999993"/>
    <n v="79.489999999999995"/>
    <n v="80.23"/>
    <d v="2016-01-01T00:00:00"/>
  </r>
  <r>
    <n v="2016"/>
    <x v="1"/>
    <s v="Winter"/>
    <n v="1"/>
    <n v="51111121"/>
    <n v="7276912"/>
    <n v="58388033"/>
    <n v="612176"/>
    <n v="65905"/>
    <n v="678081"/>
    <n v="46460173"/>
    <n v="17857305"/>
    <n v="64317478"/>
    <n v="57466885"/>
    <n v="24198863"/>
    <n v="81665748"/>
    <n v="80.849999999999994"/>
    <n v="73.790000000000006"/>
    <n v="78.760000000000005"/>
    <d v="2016-02-01T00:00:00"/>
  </r>
  <r>
    <n v="2016"/>
    <x v="2"/>
    <s v="Spring"/>
    <n v="1"/>
    <n v="61592900"/>
    <n v="8846249"/>
    <n v="70439149"/>
    <n v="697830"/>
    <n v="74166"/>
    <n v="771996"/>
    <n v="56704006"/>
    <n v="21722335"/>
    <n v="78426341"/>
    <n v="66469561"/>
    <n v="27375245"/>
    <n v="93844807"/>
    <n v="85.31"/>
    <n v="79.349999999999994"/>
    <n v="83.57"/>
    <d v="2016-03-01T00:00:00"/>
  </r>
  <r>
    <n v="2016"/>
    <x v="3"/>
    <s v="Spring"/>
    <n v="1"/>
    <n v="58893676"/>
    <n v="8236909"/>
    <n v="67130585"/>
    <n v="675633"/>
    <n v="71002"/>
    <n v="746635"/>
    <n v="53623641"/>
    <n v="21272344"/>
    <n v="74895985"/>
    <n v="63775636"/>
    <n v="27557124"/>
    <n v="91332760"/>
    <n v="84.08"/>
    <n v="77.19"/>
    <n v="82"/>
    <d v="2016-04-01T00:00:00"/>
  </r>
  <r>
    <n v="2016"/>
    <x v="4"/>
    <s v="Spring"/>
    <n v="1"/>
    <n v="62752121"/>
    <n v="8658474"/>
    <n v="71410595"/>
    <n v="702944"/>
    <n v="72121"/>
    <n v="775065"/>
    <n v="57131517"/>
    <n v="23417723"/>
    <n v="80549240"/>
    <n v="66545323"/>
    <n v="29545223"/>
    <n v="96090546"/>
    <n v="85.85"/>
    <n v="79.260000000000005"/>
    <n v="83.83"/>
    <d v="2016-05-01T00:00:00"/>
  </r>
  <r>
    <n v="2016"/>
    <x v="5"/>
    <s v="Summer"/>
    <n v="1"/>
    <n v="64757222"/>
    <n v="9649641"/>
    <n v="74406863"/>
    <n v="713634"/>
    <n v="75070"/>
    <n v="788704"/>
    <n v="60278319"/>
    <n v="26042153"/>
    <n v="86320472"/>
    <n v="68799336"/>
    <n v="30831533"/>
    <n v="99630870"/>
    <n v="87.61"/>
    <n v="84.47"/>
    <n v="86.64"/>
    <d v="2016-06-01T00:00:00"/>
  </r>
  <r>
    <n v="2016"/>
    <x v="6"/>
    <s v="Summer"/>
    <n v="1"/>
    <n v="66134540"/>
    <n v="10651750"/>
    <n v="76786290"/>
    <n v="731044"/>
    <n v="78726"/>
    <n v="809770"/>
    <n v="62349210"/>
    <n v="28079998"/>
    <n v="90429208"/>
    <n v="71524171"/>
    <n v="32640788"/>
    <n v="104164959"/>
    <n v="87.17"/>
    <n v="86.03"/>
    <n v="86.81"/>
    <d v="2016-07-01T00:00:00"/>
  </r>
  <r>
    <n v="2016"/>
    <x v="7"/>
    <s v="Summer"/>
    <n v="1"/>
    <n v="63498165"/>
    <n v="9851036"/>
    <n v="73349201"/>
    <n v="731988"/>
    <n v="74906"/>
    <n v="806894"/>
    <n v="59282098"/>
    <n v="26662752"/>
    <n v="85944849"/>
    <n v="69971791"/>
    <n v="31634549"/>
    <n v="101606340"/>
    <n v="84.72"/>
    <n v="84.28"/>
    <n v="84.59"/>
    <d v="2016-08-01T00:00:00"/>
  </r>
  <r>
    <n v="2016"/>
    <x v="8"/>
    <s v="Fall"/>
    <n v="1"/>
    <n v="58619844"/>
    <n v="7767077"/>
    <n v="66386921"/>
    <n v="673171"/>
    <n v="62762"/>
    <n v="735933"/>
    <n v="52660625"/>
    <n v="22480586"/>
    <n v="75141211"/>
    <n v="62507787"/>
    <n v="27705349"/>
    <n v="90213136"/>
    <n v="84.25"/>
    <n v="81.14"/>
    <n v="83.29"/>
    <d v="2016-09-01T00:00:00"/>
  </r>
  <r>
    <n v="2016"/>
    <x v="9"/>
    <s v="Fall"/>
    <n v="1"/>
    <n v="61708696"/>
    <n v="7745955"/>
    <n v="69454651"/>
    <n v="688347"/>
    <n v="63260"/>
    <n v="751607"/>
    <n v="55320059"/>
    <n v="21775573"/>
    <n v="77095632"/>
    <n v="64769646"/>
    <n v="27171641"/>
    <n v="91941286"/>
    <n v="85.41"/>
    <n v="80.14"/>
    <n v="83.85"/>
    <d v="2016-10-01T00:00:00"/>
  </r>
  <r>
    <n v="2016"/>
    <x v="10"/>
    <s v="Fall"/>
    <n v="1"/>
    <n v="59269062"/>
    <n v="7259192"/>
    <n v="66528254"/>
    <n v="658162"/>
    <n v="61188"/>
    <n v="719350"/>
    <n v="53280610"/>
    <n v="18805494"/>
    <n v="72086104"/>
    <n v="62885798"/>
    <n v="23851439"/>
    <n v="86737237"/>
    <n v="84.73"/>
    <n v="78.84"/>
    <n v="83.11"/>
    <d v="2016-11-01T00:00:00"/>
  </r>
  <r>
    <n v="2016"/>
    <x v="11"/>
    <s v="Fall"/>
    <n v="1"/>
    <n v="59178183"/>
    <n v="8735834"/>
    <n v="67914017"/>
    <n v="662154"/>
    <n v="72280"/>
    <n v="734434"/>
    <n v="54812269"/>
    <n v="22001650"/>
    <n v="76813919"/>
    <n v="65698072"/>
    <n v="27118317"/>
    <n v="92816388"/>
    <n v="83.43"/>
    <n v="81.13"/>
    <n v="82.76"/>
    <d v="2016-12-01T00:00:00"/>
  </r>
  <r>
    <n v="2017"/>
    <x v="0"/>
    <s v="Winter"/>
    <n v="1"/>
    <n v="54108732"/>
    <n v="8451833"/>
    <n v="62560565"/>
    <n v="645169"/>
    <n v="71242"/>
    <n v="716411"/>
    <n v="50136641"/>
    <n v="21167951"/>
    <n v="71304592"/>
    <n v="63084038"/>
    <n v="26711252"/>
    <n v="89795289"/>
    <n v="79.48"/>
    <n v="79.25"/>
    <n v="79.41"/>
    <d v="2017-01-01T00:00:00"/>
  </r>
  <r>
    <n v="2017"/>
    <x v="1"/>
    <s v="Winter"/>
    <n v="1"/>
    <n v="51077566"/>
    <n v="7243348"/>
    <n v="58320914"/>
    <n v="592048"/>
    <n v="63807"/>
    <n v="655855"/>
    <n v="46484888"/>
    <n v="17661922"/>
    <n v="64146810"/>
    <n v="57436638"/>
    <n v="23785528"/>
    <n v="81222166"/>
    <n v="80.930000000000007"/>
    <n v="74.25"/>
    <n v="78.98"/>
    <d v="2017-02-01T00:00:00"/>
  </r>
  <r>
    <n v="2017"/>
    <x v="2"/>
    <s v="Spring"/>
    <n v="1"/>
    <n v="63963230"/>
    <n v="8934658"/>
    <n v="72897888"/>
    <n v="696983"/>
    <n v="73651"/>
    <n v="770634"/>
    <n v="58791439"/>
    <n v="21913330"/>
    <n v="80704768"/>
    <n v="68737048"/>
    <n v="27863556"/>
    <n v="96600605"/>
    <n v="85.53"/>
    <n v="78.650000000000006"/>
    <n v="83.54"/>
    <d v="2017-03-01T00:00:00"/>
  </r>
  <r>
    <n v="2017"/>
    <x v="3"/>
    <s v="Spring"/>
    <n v="1"/>
    <n v="61098649"/>
    <n v="9097723"/>
    <n v="70196372"/>
    <n v="673380"/>
    <n v="72137"/>
    <n v="745517"/>
    <n v="56302475"/>
    <n v="23057928"/>
    <n v="79360403"/>
    <n v="66075373"/>
    <n v="28543219"/>
    <n v="94618593"/>
    <n v="85.21"/>
    <n v="80.78"/>
    <n v="83.87"/>
    <d v="2017-04-01T00:00:00"/>
  </r>
  <r>
    <n v="2017"/>
    <x v="4"/>
    <s v="Spring"/>
    <n v="1"/>
    <n v="64442559"/>
    <n v="9178905"/>
    <n v="73621464"/>
    <n v="706747"/>
    <n v="72895"/>
    <n v="779642"/>
    <n v="59016272"/>
    <n v="24399847"/>
    <n v="83416119"/>
    <n v="68835179"/>
    <n v="30455251"/>
    <n v="99290430"/>
    <n v="85.74"/>
    <n v="80.12"/>
    <n v="84.01"/>
    <d v="2017-05-01T00:00:00"/>
  </r>
  <r>
    <n v="2017"/>
    <x v="5"/>
    <s v="Summer"/>
    <n v="1"/>
    <n v="66746003"/>
    <n v="10211356"/>
    <n v="76957359"/>
    <n v="718817"/>
    <n v="76507"/>
    <n v="795324"/>
    <n v="62468942"/>
    <n v="27079807"/>
    <n v="89548749"/>
    <n v="71663336"/>
    <n v="31904900"/>
    <n v="103568236"/>
    <n v="87.17"/>
    <n v="84.88"/>
    <n v="86.46"/>
    <d v="2017-06-01T00:00:00"/>
  </r>
  <r>
    <n v="2017"/>
    <x v="6"/>
    <s v="Summer"/>
    <n v="1"/>
    <n v="68574097"/>
    <n v="11190376"/>
    <n v="79764473"/>
    <n v="739541"/>
    <n v="81408"/>
    <n v="820949"/>
    <n v="65035199"/>
    <n v="28958608"/>
    <n v="93993807"/>
    <n v="74806668"/>
    <n v="33680646"/>
    <n v="108487314"/>
    <n v="86.94"/>
    <n v="85.98"/>
    <n v="86.64"/>
    <d v="2017-07-01T00:00:00"/>
  </r>
  <r>
    <n v="2017"/>
    <x v="7"/>
    <s v="Summer"/>
    <n v="1"/>
    <n v="66663503"/>
    <n v="10384018"/>
    <n v="77047521"/>
    <n v="735233"/>
    <n v="75662"/>
    <n v="810895"/>
    <n v="62520253"/>
    <n v="27802659"/>
    <n v="90322912"/>
    <n v="73231019"/>
    <n v="32407563"/>
    <n v="105638582"/>
    <n v="85.37"/>
    <n v="85.79"/>
    <n v="85.5"/>
    <d v="2017-08-01T00:00:00"/>
  </r>
  <r>
    <n v="2017"/>
    <x v="8"/>
    <s v="Fall"/>
    <n v="1"/>
    <n v="57143966"/>
    <n v="7726792"/>
    <n v="64870758"/>
    <n v="652003"/>
    <n v="60039"/>
    <n v="712042"/>
    <n v="51871547"/>
    <n v="22667597"/>
    <n v="74539144"/>
    <n v="63120276"/>
    <n v="28148004"/>
    <n v="91268280"/>
    <n v="82.18"/>
    <n v="80.53"/>
    <n v="81.67"/>
    <d v="2017-09-01T00:00:00"/>
  </r>
  <r>
    <n v="2017"/>
    <x v="9"/>
    <s v="Fall"/>
    <n v="1"/>
    <n v="64624806"/>
    <n v="8030539"/>
    <n v="72655345"/>
    <n v="691971"/>
    <n v="64389"/>
    <n v="756360"/>
    <n v="58257900"/>
    <n v="22261064"/>
    <n v="80518965"/>
    <n v="68007435"/>
    <n v="28299580"/>
    <n v="96307015"/>
    <n v="85.66"/>
    <n v="78.66"/>
    <n v="83.61"/>
    <d v="2017-10-01T00:00:00"/>
  </r>
  <r>
    <n v="2017"/>
    <x v="10"/>
    <s v="Fall"/>
    <n v="1"/>
    <n v="61911285"/>
    <n v="7678861"/>
    <n v="69590146"/>
    <n v="656939"/>
    <n v="62616"/>
    <n v="719555"/>
    <n v="55883966"/>
    <n v="19680722"/>
    <n v="75564688"/>
    <n v="65149163"/>
    <n v="25035612"/>
    <n v="90184775"/>
    <n v="85.78"/>
    <n v="78.61"/>
    <n v="83.79"/>
    <d v="2017-11-01T00:00:00"/>
  </r>
  <r>
    <n v="2017"/>
    <x v="11"/>
    <s v="Fall"/>
    <n v="1"/>
    <n v="61373581"/>
    <n v="8913285"/>
    <n v="70286866"/>
    <n v="667216"/>
    <n v="71441"/>
    <n v="738657"/>
    <n v="56980320"/>
    <n v="22548282"/>
    <n v="79528602"/>
    <n v="68235413"/>
    <n v="27932831"/>
    <n v="96168244"/>
    <n v="83.51"/>
    <n v="80.72"/>
    <n v="82.7"/>
    <d v="2017-12-01T00:00:00"/>
  </r>
  <r>
    <n v="2018"/>
    <x v="0"/>
    <s v="Winter"/>
    <n v="1"/>
    <n v="55829992"/>
    <n v="8559733"/>
    <n v="64389725"/>
    <n v="653344"/>
    <n v="69767"/>
    <n v="723111"/>
    <n v="51716868"/>
    <n v="21549127"/>
    <n v="73265996"/>
    <n v="65566516"/>
    <n v="27380828"/>
    <n v="92947344"/>
    <n v="78.88"/>
    <n v="78.7"/>
    <n v="78.83"/>
    <d v="2018-01-01T00:00:00"/>
  </r>
  <r>
    <n v="2018"/>
    <x v="1"/>
    <s v="Winter"/>
    <n v="1"/>
    <n v="54077854"/>
    <n v="7596937"/>
    <n v="61674791"/>
    <n v="600492"/>
    <n v="63466"/>
    <n v="663958"/>
    <n v="49452398"/>
    <n v="18674644"/>
    <n v="68127042"/>
    <n v="60464267"/>
    <n v="24587642"/>
    <n v="85051909"/>
    <n v="81.790000000000006"/>
    <n v="75.95"/>
    <n v="80.099999999999994"/>
    <d v="2018-02-01T00:00:00"/>
  </r>
  <r>
    <n v="2018"/>
    <x v="2"/>
    <s v="Spring"/>
    <n v="1"/>
    <n v="66643229"/>
    <n v="9603829"/>
    <n v="76247058"/>
    <n v="698464"/>
    <n v="74602"/>
    <n v="773066"/>
    <n v="61707206"/>
    <n v="23793520"/>
    <n v="85500726"/>
    <n v="71674598"/>
    <n v="28893311"/>
    <n v="100567909"/>
    <n v="86.09"/>
    <n v="82.35"/>
    <n v="85.02"/>
    <d v="2018-03-01T00:00:00"/>
  </r>
  <r>
    <n v="2018"/>
    <x v="3"/>
    <s v="Spring"/>
    <n v="1"/>
    <n v="64556900"/>
    <n v="9035586"/>
    <n v="73592486"/>
    <n v="695306"/>
    <n v="72042"/>
    <n v="767348"/>
    <n v="59340837"/>
    <n v="23106823"/>
    <n v="82447659"/>
    <n v="70357638"/>
    <n v="29055033"/>
    <n v="99412671"/>
    <n v="84.34"/>
    <n v="79.53"/>
    <n v="82.93"/>
    <d v="2018-04-01T00:00:00"/>
  </r>
  <r>
    <n v="2018"/>
    <x v="4"/>
    <s v="Spring"/>
    <n v="1"/>
    <n v="67844134"/>
    <n v="9416071"/>
    <n v="77260205"/>
    <n v="724065"/>
    <n v="73277"/>
    <n v="797342"/>
    <n v="62580568"/>
    <n v="25356444"/>
    <n v="87937012"/>
    <n v="73310971"/>
    <n v="31133051"/>
    <n v="104444022"/>
    <n v="85.36"/>
    <n v="81.45"/>
    <n v="84.2"/>
    <d v="2018-05-01T00:00:00"/>
  </r>
  <r>
    <n v="2018"/>
    <x v="5"/>
    <s v="Summer"/>
    <n v="1"/>
    <n v="70277734"/>
    <n v="10569323"/>
    <n v="80847057"/>
    <n v="732292"/>
    <n v="77394"/>
    <n v="809686"/>
    <n v="66095829"/>
    <n v="28194872"/>
    <n v="94290701"/>
    <n v="75323742"/>
    <n v="32486010"/>
    <n v="107809753"/>
    <n v="87.75"/>
    <n v="86.79"/>
    <n v="87.46"/>
    <d v="2018-06-01T00:00:00"/>
  </r>
  <r>
    <n v="2018"/>
    <x v="6"/>
    <s v="Summer"/>
    <n v="1"/>
    <n v="72539780"/>
    <n v="11391458"/>
    <n v="83931238"/>
    <n v="759879"/>
    <n v="81620"/>
    <n v="841499"/>
    <n v="69091745"/>
    <n v="29716690"/>
    <n v="98808435"/>
    <n v="78406927"/>
    <n v="34171666"/>
    <n v="112578593"/>
    <n v="88.12"/>
    <n v="86.96"/>
    <n v="87.77"/>
    <d v="2018-07-01T00:00:00"/>
  </r>
  <r>
    <n v="2018"/>
    <x v="7"/>
    <s v="Summer"/>
    <n v="1"/>
    <n v="70337936"/>
    <n v="10624720"/>
    <n v="80962656"/>
    <n v="756345"/>
    <n v="77086"/>
    <n v="833431"/>
    <n v="66132022"/>
    <n v="28638849"/>
    <n v="94770872"/>
    <n v="76722785"/>
    <n v="33238079"/>
    <n v="109960864"/>
    <n v="86.2"/>
    <n v="86.16"/>
    <n v="86.19"/>
    <d v="2018-08-01T00:00:00"/>
  </r>
  <r>
    <n v="2018"/>
    <x v="8"/>
    <s v="Fall"/>
    <n v="1"/>
    <n v="60468115"/>
    <n v="8208432"/>
    <n v="68676547"/>
    <n v="686422"/>
    <n v="65032"/>
    <n v="751454"/>
    <n v="55431352"/>
    <n v="23604682"/>
    <n v="79036033"/>
    <n v="68530468"/>
    <n v="29479449"/>
    <n v="98009918"/>
    <n v="80.89"/>
    <n v="80.069999999999993"/>
    <n v="80.64"/>
    <d v="2018-09-01T00:00:00"/>
  </r>
  <r>
    <n v="2018"/>
    <x v="9"/>
    <s v="Fall"/>
    <n v="1"/>
    <n v="67081594"/>
    <n v="8399032"/>
    <n v="75480626"/>
    <n v="722634"/>
    <n v="66557"/>
    <n v="789191"/>
    <n v="61011629"/>
    <n v="23294709"/>
    <n v="84306338"/>
    <n v="72044924"/>
    <n v="29079416"/>
    <n v="101124339"/>
    <n v="84.69"/>
    <n v="80.11"/>
    <n v="83.37"/>
    <d v="2018-10-01T00:00:00"/>
  </r>
  <r>
    <n v="2018"/>
    <x v="10"/>
    <s v="Fall"/>
    <n v="1"/>
    <n v="64659493"/>
    <n v="8052683"/>
    <n v="72712176"/>
    <n v="678121"/>
    <n v="64528"/>
    <n v="742649"/>
    <n v="58779361"/>
    <n v="20613643"/>
    <n v="79393004"/>
    <n v="69098147"/>
    <n v="25689087"/>
    <n v="94787234"/>
    <n v="85.07"/>
    <n v="80.239999999999995"/>
    <n v="83.76"/>
    <d v="2018-11-01T00:00:00"/>
  </r>
  <r>
    <n v="2018"/>
    <x v="11"/>
    <s v="Fall"/>
    <n v="1"/>
    <n v="63646119"/>
    <n v="9209221"/>
    <n v="72855340"/>
    <n v="691040"/>
    <n v="73025"/>
    <n v="764065"/>
    <n v="59477976"/>
    <n v="23210813"/>
    <n v="82688789"/>
    <n v="71865604"/>
    <n v="28476318"/>
    <n v="100341922"/>
    <n v="82.76"/>
    <n v="81.510000000000005"/>
    <n v="82.41"/>
    <d v="2018-12-01T00:00:00"/>
  </r>
  <r>
    <n v="2019"/>
    <x v="0"/>
    <s v="Winter"/>
    <n v="1"/>
    <n v="58033637"/>
    <n v="8956997"/>
    <n v="66990634"/>
    <n v="667538"/>
    <n v="72265"/>
    <n v="739803"/>
    <n v="54357953"/>
    <n v="22507073"/>
    <n v="76865026"/>
    <n v="68754679"/>
    <n v="28148681"/>
    <n v="96903359"/>
    <n v="79.06"/>
    <n v="79.959999999999994"/>
    <n v="79.319999999999993"/>
    <d v="2019-01-01T00:00:00"/>
  </r>
  <r>
    <n v="2019"/>
    <x v="1"/>
    <s v="Winter"/>
    <n v="1"/>
    <n v="55679100"/>
    <n v="7872131"/>
    <n v="63551231"/>
    <n v="607916"/>
    <n v="65171"/>
    <n v="673087"/>
    <n v="51406118"/>
    <n v="19291164"/>
    <n v="70697283"/>
    <n v="62805310"/>
    <n v="25032799"/>
    <n v="87838108"/>
    <n v="81.849999999999994"/>
    <n v="77.06"/>
    <n v="80.489999999999995"/>
    <d v="2019-02-01T00:00:00"/>
  </r>
  <r>
    <n v="2019"/>
    <x v="2"/>
    <s v="Spring"/>
    <n v="1"/>
    <n v="70233456"/>
    <n v="9948135"/>
    <n v="80181591"/>
    <n v="729115"/>
    <n v="77118"/>
    <n v="806233"/>
    <n v="65407750"/>
    <n v="24488323"/>
    <n v="89896073"/>
    <n v="75651233"/>
    <n v="29501782"/>
    <n v="105153015"/>
    <n v="86.46"/>
    <n v="83.01"/>
    <n v="85.49"/>
    <d v="2019-03-01T00:00:00"/>
  </r>
  <r>
    <n v="2019"/>
    <x v="3"/>
    <s v="Spring"/>
    <n v="1"/>
    <n v="66938177"/>
    <n v="9461086"/>
    <n v="76399263"/>
    <n v="708988"/>
    <n v="72813"/>
    <n v="781801"/>
    <n v="61953253"/>
    <n v="24174894"/>
    <n v="86128147"/>
    <n v="72335243"/>
    <n v="29424979"/>
    <n v="101760222"/>
    <n v="85.65"/>
    <n v="82.16"/>
    <n v="84.64"/>
    <d v="2019-04-01T00:00:00"/>
  </r>
  <r>
    <n v="2019"/>
    <x v="4"/>
    <s v="Spring"/>
    <n v="1"/>
    <n v="71363514"/>
    <n v="9952955"/>
    <n v="81316469"/>
    <n v="740482"/>
    <n v="74788"/>
    <n v="815270"/>
    <n v="65811129"/>
    <n v="26667148"/>
    <n v="92478276"/>
    <n v="75386003"/>
    <n v="31953392"/>
    <n v="107339395"/>
    <n v="87.3"/>
    <n v="83.46"/>
    <n v="86.16"/>
    <d v="2019-05-01T00:00:00"/>
  </r>
  <r>
    <n v="2019"/>
    <x v="5"/>
    <s v="Summer"/>
    <n v="1"/>
    <n v="72789897"/>
    <n v="11018680"/>
    <n v="83808577"/>
    <n v="741462"/>
    <n v="79201"/>
    <n v="820663"/>
    <n v="68413114"/>
    <n v="29322269"/>
    <n v="97735383"/>
    <n v="76617119"/>
    <n v="33392864"/>
    <n v="110009983"/>
    <n v="89.29"/>
    <n v="87.81"/>
    <n v="88.84"/>
    <d v="2019-06-01T00:00:00"/>
  </r>
  <r>
    <n v="2019"/>
    <x v="6"/>
    <s v="Summer"/>
    <n v="1"/>
    <n v="75281255"/>
    <n v="11644596"/>
    <n v="86925851"/>
    <n v="768645"/>
    <n v="82681"/>
    <n v="851326"/>
    <n v="71276327"/>
    <n v="30447264"/>
    <n v="101723592"/>
    <n v="80081319"/>
    <n v="34751863"/>
    <n v="114833182"/>
    <n v="89"/>
    <n v="87.61"/>
    <n v="88.58"/>
    <d v="2019-07-01T00:00:00"/>
  </r>
  <r>
    <n v="2019"/>
    <x v="7"/>
    <s v="Summer"/>
    <n v="1"/>
    <n v="72715566"/>
    <n v="11035622"/>
    <n v="83751188"/>
    <n v="769675"/>
    <n v="78975"/>
    <n v="848650"/>
    <n v="68147755"/>
    <n v="29802655"/>
    <n v="97950411"/>
    <n v="78976519"/>
    <n v="34056646"/>
    <n v="113033164"/>
    <n v="86.29"/>
    <n v="87.51"/>
    <n v="86.66"/>
    <d v="2019-08-01T00:00:00"/>
  </r>
  <r>
    <n v="2019"/>
    <x v="8"/>
    <s v="Fall"/>
    <n v="1"/>
    <n v="63979337"/>
    <n v="8589987"/>
    <n v="72569324"/>
    <n v="705071"/>
    <n v="64280"/>
    <n v="769351"/>
    <n v="58213654"/>
    <n v="25083576"/>
    <n v="83297229"/>
    <n v="70649463"/>
    <n v="30372637"/>
    <n v="101022100"/>
    <n v="82.4"/>
    <n v="82.59"/>
    <n v="82.45"/>
    <d v="2019-09-01T00:00:00"/>
  </r>
  <r>
    <n v="2019"/>
    <x v="9"/>
    <s v="Fall"/>
    <n v="1"/>
    <n v="69922300"/>
    <n v="8678300"/>
    <n v="78600600"/>
    <n v="740181"/>
    <n v="65807"/>
    <n v="805988"/>
    <n v="63323849"/>
    <n v="24290255"/>
    <n v="87614104"/>
    <n v="74904303"/>
    <n v="29477943"/>
    <n v="104382246"/>
    <n v="84.54"/>
    <n v="82.4"/>
    <n v="83.94"/>
    <d v="2019-10-01T00:00:00"/>
  </r>
  <r>
    <n v="2019"/>
    <x v="10"/>
    <s v="Fall"/>
    <n v="1"/>
    <n v="64816897"/>
    <n v="8240630"/>
    <n v="73057527"/>
    <n v="694377"/>
    <n v="64025"/>
    <n v="758402"/>
    <n v="59158778"/>
    <n v="21330058"/>
    <n v="80488836"/>
    <n v="72118560"/>
    <n v="26346567"/>
    <n v="98465127"/>
    <n v="82.03"/>
    <n v="80.959999999999994"/>
    <n v="81.739999999999995"/>
    <d v="2019-11-01T00:00:00"/>
  </r>
  <r>
    <n v="2019"/>
    <x v="11"/>
    <s v="Fall"/>
    <n v="1"/>
    <n v="69718631"/>
    <n v="9566028"/>
    <n v="79284659"/>
    <n v="721420"/>
    <n v="71724"/>
    <n v="793144"/>
    <n v="65288156"/>
    <n v="24636021"/>
    <n v="89924177"/>
    <n v="76153730"/>
    <n v="29139144"/>
    <n v="105292875"/>
    <n v="85.73"/>
    <n v="84.55"/>
    <n v="85.4"/>
    <d v="2019-12-01T00:00:00"/>
  </r>
  <r>
    <n v="2020"/>
    <x v="0"/>
    <s v="Winter"/>
    <n v="1"/>
    <n v="61622947"/>
    <n v="9144821"/>
    <n v="70767768"/>
    <n v="700493"/>
    <n v="70035"/>
    <n v="770528"/>
    <n v="57629920"/>
    <n v="23378976"/>
    <n v="81008896"/>
    <n v="72425565"/>
    <n v="28723812"/>
    <n v="101149378"/>
    <n v="79.569999999999993"/>
    <n v="81.39"/>
    <n v="80.09"/>
    <d v="2020-01-01T00:00:00"/>
  </r>
  <r>
    <n v="2020"/>
    <x v="1"/>
    <s v="Winter"/>
    <n v="1"/>
    <n v="59868112"/>
    <n v="7945094"/>
    <n v="67813206"/>
    <n v="660344"/>
    <n v="64414"/>
    <n v="724758"/>
    <n v="55336120"/>
    <n v="18527485"/>
    <n v="73863606"/>
    <n v="68495012"/>
    <n v="24319113"/>
    <n v="92814125"/>
    <n v="80.790000000000006"/>
    <n v="76.180000000000007"/>
    <n v="79.58"/>
    <d v="2020-02-01T00:00:00"/>
  </r>
  <r>
    <n v="2020"/>
    <x v="2"/>
    <s v="Spring"/>
    <n v="1"/>
    <n v="34413597"/>
    <n v="4645178"/>
    <n v="39058775"/>
    <n v="616136"/>
    <n v="51108"/>
    <n v="667244"/>
    <n v="32526486"/>
    <n v="10229609"/>
    <n v="42756095"/>
    <n v="64968387"/>
    <n v="17530264"/>
    <n v="82498651"/>
    <n v="50.07"/>
    <n v="58.35"/>
    <n v="51.83"/>
    <d v="2020-03-01T00:00:00"/>
  </r>
  <r>
    <n v="2020"/>
    <x v="3"/>
    <s v="Spring"/>
    <n v="1"/>
    <n v="2877290"/>
    <n v="136609"/>
    <n v="3013899"/>
    <n v="217262"/>
    <n v="5018"/>
    <n v="222280"/>
    <n v="2551127"/>
    <n v="356762"/>
    <n v="2907889"/>
    <n v="19489079"/>
    <n v="1541419"/>
    <n v="21030499"/>
    <n v="13.09"/>
    <n v="23.15"/>
    <n v="13.83"/>
    <d v="2020-04-01T00:00:00"/>
  </r>
  <r>
    <n v="2020"/>
    <x v="4"/>
    <s v="Spring"/>
    <n v="1"/>
    <n v="9697400"/>
    <n v="190629"/>
    <n v="9888029"/>
    <n v="252450"/>
    <n v="4996"/>
    <n v="257446"/>
    <n v="8117835"/>
    <n v="479069"/>
    <n v="8596904"/>
    <n v="22120037"/>
    <n v="1746343"/>
    <n v="23866380"/>
    <n v="36.700000000000003"/>
    <n v="27.43"/>
    <n v="36.020000000000003"/>
    <d v="2020-05-01T00:00:00"/>
  </r>
  <r>
    <n v="2020"/>
    <x v="5"/>
    <s v="Summer"/>
    <n v="1"/>
    <n v="16207290"/>
    <n v="403702"/>
    <n v="16610992"/>
    <n v="273036"/>
    <n v="7220"/>
    <n v="280256"/>
    <n v="14007580"/>
    <n v="896609"/>
    <n v="14904189"/>
    <n v="24940429"/>
    <n v="2580911"/>
    <n v="27521340"/>
    <n v="56.16"/>
    <n v="34.74"/>
    <n v="54.16"/>
    <d v="2020-06-01T00:00:00"/>
  </r>
  <r>
    <n v="2020"/>
    <x v="6"/>
    <s v="Summer"/>
    <n v="1"/>
    <n v="22921780"/>
    <n v="1132104"/>
    <n v="24053884"/>
    <n v="411226"/>
    <n v="16692"/>
    <n v="427918"/>
    <n v="20075947"/>
    <n v="1982897"/>
    <n v="22058844"/>
    <n v="40313242"/>
    <n v="5480689"/>
    <n v="45793931"/>
    <n v="49.8"/>
    <n v="36.18"/>
    <n v="48.17"/>
    <d v="2020-07-01T00:00:00"/>
  </r>
  <r>
    <n v="2020"/>
    <x v="7"/>
    <s v="Summer"/>
    <n v="1"/>
    <n v="24431273"/>
    <n v="1399827"/>
    <n v="25831100"/>
    <n v="441615"/>
    <n v="18295"/>
    <n v="459910"/>
    <n v="21184550"/>
    <n v="2629514"/>
    <n v="23814064"/>
    <n v="42874103"/>
    <n v="7105839"/>
    <n v="49979942"/>
    <n v="49.41"/>
    <n v="37"/>
    <n v="47.65"/>
    <d v="2020-08-01T00:00:00"/>
  </r>
  <r>
    <n v="2020"/>
    <x v="8"/>
    <s v="Fall"/>
    <n v="1"/>
    <n v="23854440"/>
    <n v="1413585"/>
    <n v="25268025"/>
    <n v="379506"/>
    <n v="18285"/>
    <n v="397791"/>
    <n v="20474546"/>
    <n v="2589214"/>
    <n v="23063760"/>
    <n v="35882006"/>
    <n v="7283900"/>
    <n v="43165905"/>
    <n v="57.06"/>
    <n v="35.549999999999997"/>
    <n v="53.43"/>
    <d v="2020-09-01T00:00:00"/>
  </r>
  <r>
    <n v="2020"/>
    <x v="9"/>
    <s v="Fall"/>
    <n v="1"/>
    <n v="28026570"/>
    <n v="1982866"/>
    <n v="30009436"/>
    <n v="410189"/>
    <n v="23724"/>
    <n v="433913"/>
    <n v="24425708"/>
    <n v="3433101"/>
    <n v="27858809"/>
    <n v="40389923"/>
    <n v="8881698"/>
    <n v="49271621"/>
    <n v="60.47"/>
    <n v="38.65"/>
    <n v="56.54"/>
    <d v="2020-10-01T00:00:00"/>
  </r>
  <r>
    <n v="2020"/>
    <x v="10"/>
    <s v="Fall"/>
    <n v="1"/>
    <n v="26293959"/>
    <n v="2463575"/>
    <n v="28757534"/>
    <n v="421049"/>
    <n v="29652"/>
    <n v="450701"/>
    <n v="23711619"/>
    <n v="4238353"/>
    <n v="27949973"/>
    <n v="43474919"/>
    <n v="10199590"/>
    <n v="53674509"/>
    <n v="54.54"/>
    <n v="41.55"/>
    <n v="52.07"/>
    <d v="2020-11-01T00:00:00"/>
  </r>
  <r>
    <n v="2020"/>
    <x v="11"/>
    <s v="Fall"/>
    <n v="1"/>
    <n v="27263462"/>
    <n v="3269403"/>
    <n v="30532865"/>
    <n v="428768"/>
    <n v="38852"/>
    <n v="467620"/>
    <n v="25075790"/>
    <n v="5750942"/>
    <n v="30826732"/>
    <n v="45077321"/>
    <n v="12309781"/>
    <n v="57387103"/>
    <n v="55.63"/>
    <n v="46.72"/>
    <n v="53.72"/>
    <d v="2020-12-01T00:00:00"/>
  </r>
  <r>
    <n v="2021"/>
    <x v="0"/>
    <s v="Winter"/>
    <n v="1"/>
    <n v="24305435"/>
    <n v="2986261"/>
    <n v="27291696"/>
    <n v="408807"/>
    <n v="40455"/>
    <n v="449262"/>
    <n v="22357664"/>
    <n v="5434809"/>
    <n v="27792473"/>
    <n v="42318242"/>
    <n v="12923703"/>
    <n v="55241945"/>
    <n v="52.83"/>
    <n v="42.05"/>
    <n v="50.31"/>
    <d v="2021-01-01T00:00:00"/>
  </r>
  <r>
    <n v="2021"/>
    <x v="1"/>
    <s v="Winter"/>
    <n v="1"/>
    <n v="24483154"/>
    <n v="2121336"/>
    <n v="26604490"/>
    <n v="361687"/>
    <n v="34903"/>
    <n v="396590"/>
    <n v="22477682"/>
    <n v="3840749"/>
    <n v="26318431"/>
    <n v="37928419"/>
    <n v="10965754"/>
    <n v="48894173"/>
    <n v="59.26"/>
    <n v="35.020000000000003"/>
    <n v="53.83"/>
    <d v="2021-02-01T00:00:00"/>
  </r>
  <r>
    <n v="2021"/>
    <x v="2"/>
    <s v="Spring"/>
    <n v="1"/>
    <n v="39342855"/>
    <n v="3453943"/>
    <n v="42796798"/>
    <n v="499359"/>
    <n v="42273"/>
    <n v="541632"/>
    <n v="36811555"/>
    <n v="5867011"/>
    <n v="42678566"/>
    <n v="53749326"/>
    <n v="13510189"/>
    <n v="67259515"/>
    <n v="68.489999999999995"/>
    <n v="43.43"/>
    <n v="63.45"/>
    <d v="2021-03-01T00:00:00"/>
  </r>
  <r>
    <n v="2021"/>
    <x v="3"/>
    <s v="Spring"/>
    <n v="1"/>
    <n v="43798512"/>
    <n v="3998149"/>
    <n v="47796661"/>
    <n v="514268"/>
    <n v="40981"/>
    <n v="555249"/>
    <n v="40971446"/>
    <n v="6667109"/>
    <n v="47638554"/>
    <n v="54787593"/>
    <n v="14129131"/>
    <n v="68916725"/>
    <n v="74.78"/>
    <n v="47.19"/>
    <n v="69.12"/>
    <d v="2021-04-01T00:00:00"/>
  </r>
  <r>
    <n v="2021"/>
    <x v="4"/>
    <s v="Spring"/>
    <n v="1"/>
    <n v="52751776"/>
    <n v="4941591"/>
    <n v="57693367"/>
    <n v="565788"/>
    <n v="44613"/>
    <n v="610401"/>
    <n v="49648995"/>
    <n v="8165943"/>
    <n v="57814938"/>
    <n v="61332631"/>
    <n v="15385728"/>
    <n v="76718359"/>
    <n v="80.95"/>
    <n v="53.07"/>
    <n v="75.36"/>
    <d v="2021-05-01T00:00:00"/>
  </r>
  <r>
    <n v="2021"/>
    <x v="5"/>
    <s v="Summer"/>
    <n v="1"/>
    <n v="60109293"/>
    <n v="6035931"/>
    <n v="66145224"/>
    <n v="617735"/>
    <n v="48831"/>
    <n v="666566"/>
    <n v="57717786"/>
    <n v="10815231"/>
    <n v="68533017"/>
    <n v="67462113"/>
    <n v="17097559"/>
    <n v="84559672"/>
    <n v="85.56"/>
    <n v="63.26"/>
    <n v="81.05"/>
    <d v="2021-06-01T00:00:00"/>
  </r>
  <r>
    <n v="2021"/>
    <x v="6"/>
    <s v="Summer"/>
    <n v="1"/>
    <n v="66739409"/>
    <n v="7033399"/>
    <n v="73772808"/>
    <n v="664437"/>
    <n v="52663"/>
    <n v="717100"/>
    <n v="64545073"/>
    <n v="13494801"/>
    <n v="78039874"/>
    <n v="73407768"/>
    <n v="19144100"/>
    <n v="92551868"/>
    <n v="87.93"/>
    <n v="70.489999999999995"/>
    <n v="84.32"/>
    <d v="2021-07-01T00:00:00"/>
  </r>
  <r>
    <n v="2021"/>
    <x v="7"/>
    <s v="Summer"/>
    <n v="1"/>
    <n v="60630994"/>
    <n v="6357070"/>
    <n v="66988064"/>
    <n v="662000"/>
    <n v="50664"/>
    <n v="712664"/>
    <n v="58416638"/>
    <n v="13314028"/>
    <n v="71730666"/>
    <n v="71871421"/>
    <n v="19302668"/>
    <n v="91174089"/>
    <n v="81.28"/>
    <n v="68.98"/>
    <n v="78.67"/>
    <d v="2021-08-01T00:00:00"/>
  </r>
  <r>
    <n v="2021"/>
    <x v="8"/>
    <s v="Fall"/>
    <n v="1"/>
    <n v="53902837"/>
    <n v="4843245"/>
    <n v="58746082"/>
    <n v="610284"/>
    <n v="43758"/>
    <n v="654042"/>
    <n v="50123961"/>
    <n v="10421281"/>
    <n v="60545242"/>
    <n v="66268767"/>
    <n v="17668823"/>
    <n v="83937590"/>
    <n v="75.64"/>
    <n v="58.98"/>
    <n v="72.13"/>
    <d v="2021-09-01T00:00:00"/>
  </r>
  <r>
    <n v="2021"/>
    <x v="9"/>
    <s v="Fall"/>
    <n v="1"/>
    <n v="60546348"/>
    <n v="5360481"/>
    <n v="65906829"/>
    <n v="630240"/>
    <n v="47139"/>
    <n v="677379"/>
    <n v="55934187"/>
    <n v="10985232"/>
    <n v="66919419"/>
    <n v="69064940"/>
    <n v="18107013"/>
    <n v="87171954"/>
    <n v="80.989999999999995"/>
    <n v="60.67"/>
    <n v="76.77"/>
    <d v="2021-10-01T00:00:00"/>
  </r>
  <r>
    <n v="2021"/>
    <x v="10"/>
    <s v="Fall"/>
    <n v="1"/>
    <n v="59779045"/>
    <n v="5998703"/>
    <n v="65777748"/>
    <n v="617806"/>
    <n v="50706"/>
    <n v="668512"/>
    <n v="55742346"/>
    <n v="12199554"/>
    <n v="67941900"/>
    <n v="68469320"/>
    <n v="17676220"/>
    <n v="86145540"/>
    <n v="81.41"/>
    <n v="69.02"/>
    <n v="78.87"/>
    <d v="2021-11-01T00:00:00"/>
  </r>
  <r>
    <n v="2021"/>
    <x v="11"/>
    <s v="Fall"/>
    <n v="1"/>
    <n v="59534619"/>
    <n v="7093846"/>
    <n v="66628465"/>
    <n v="605976"/>
    <n v="59710"/>
    <n v="665686"/>
    <n v="57091558"/>
    <n v="14779224"/>
    <n v="71870782"/>
    <n v="69447090"/>
    <n v="20677611"/>
    <n v="90124701"/>
    <n v="82.21"/>
    <n v="71.47"/>
    <n v="79.75"/>
    <d v="2021-12-01T00:00:00"/>
  </r>
  <r>
    <n v="2022"/>
    <x v="0"/>
    <s v="Winter"/>
    <n v="1"/>
    <n v="45814139"/>
    <n v="6048973"/>
    <n v="51863112"/>
    <n v="569018"/>
    <n v="59036"/>
    <n v="628054"/>
    <n v="43954958"/>
    <n v="12498379"/>
    <n v="56453337"/>
    <n v="64319112"/>
    <n v="20881798"/>
    <n v="85200910"/>
    <n v="68.34"/>
    <n v="59.85"/>
    <n v="66.260000000000005"/>
    <d v="2022-01-01T00:00:00"/>
  </r>
  <r>
    <n v="2022"/>
    <x v="1"/>
    <s v="Winter"/>
    <n v="1"/>
    <n v="49075979"/>
    <n v="5725939"/>
    <n v="54801918"/>
    <n v="533962"/>
    <n v="52667"/>
    <n v="586629"/>
    <n v="46520073"/>
    <n v="11512744"/>
    <n v="58032817"/>
    <n v="60647305"/>
    <n v="18500799"/>
    <n v="79148105"/>
    <n v="76.709999999999994"/>
    <n v="62.23"/>
    <n v="73.319999999999993"/>
    <d v="2022-02-01T00:00:00"/>
  </r>
  <r>
    <n v="2022"/>
    <x v="2"/>
    <s v="Spring"/>
    <n v="1"/>
    <n v="64617029"/>
    <n v="7872874"/>
    <n v="72489903"/>
    <n v="629670"/>
    <n v="62309"/>
    <n v="691979"/>
    <n v="61674886"/>
    <n v="16212974"/>
    <n v="77887859"/>
    <n v="71989974"/>
    <n v="22030861"/>
    <n v="94020835"/>
    <n v="85.67"/>
    <n v="73.59"/>
    <n v="82.84"/>
    <d v="2022-03-01T00:00:00"/>
  </r>
  <r>
    <n v="2022"/>
    <x v="3"/>
    <s v="Spring"/>
    <n v="1"/>
    <n v="63518318"/>
    <n v="8398121"/>
    <n v="71916439"/>
    <n v="616135"/>
    <n v="63462"/>
    <n v="679597"/>
    <n v="60270759"/>
    <n v="18529341"/>
    <n v="78800100"/>
    <n v="68700144"/>
    <n v="23743871"/>
    <n v="92444015"/>
    <n v="87.73"/>
    <n v="78.040000000000006"/>
    <n v="85.24"/>
    <d v="2022-04-01T00:00:00"/>
  </r>
  <r>
    <n v="2022"/>
    <x v="4"/>
    <s v="Spring"/>
    <n v="1"/>
    <n v="66961805"/>
    <n v="8815732"/>
    <n v="75777537"/>
    <n v="644024"/>
    <n v="65674"/>
    <n v="709698"/>
    <n v="62706846"/>
    <n v="20788694"/>
    <n v="83495540"/>
    <n v="70974153"/>
    <n v="26263661"/>
    <n v="97237814"/>
    <n v="88.35"/>
    <n v="79.150000000000006"/>
    <n v="85.87"/>
    <d v="2022-05-01T00:00:00"/>
  </r>
  <r>
    <n v="2022"/>
    <x v="5"/>
    <s v="Summer"/>
    <n v="1"/>
    <n v="67368670"/>
    <n v="10023468"/>
    <n v="77392138"/>
    <n v="640218"/>
    <n v="67900"/>
    <n v="708118"/>
    <n v="63343854"/>
    <n v="24276114"/>
    <n v="87619968"/>
    <n v="70415408"/>
    <n v="27883747"/>
    <n v="98299154"/>
    <n v="89.96"/>
    <n v="87.06"/>
    <n v="89.14"/>
    <d v="2022-06-01T00:00:00"/>
  </r>
  <r>
    <n v="2022"/>
    <x v="6"/>
    <s v="Summer"/>
    <n v="1"/>
    <n v="69432042"/>
    <n v="10943155"/>
    <n v="80375197"/>
    <n v="667889"/>
    <n v="71229"/>
    <n v="739118"/>
    <n v="65633746"/>
    <n v="26440533"/>
    <n v="92074279"/>
    <n v="74959377"/>
    <n v="29660776"/>
    <n v="104620153"/>
    <n v="87.56"/>
    <n v="89.14"/>
    <n v="88.01"/>
    <d v="2022-07-01T00:00:00"/>
  </r>
  <r>
    <n v="2022"/>
    <x v="7"/>
    <s v="Summer"/>
    <n v="1"/>
    <n v="66520067"/>
    <n v="10115929"/>
    <n v="76635996"/>
    <n v="657576"/>
    <n v="68544"/>
    <n v="726120"/>
    <n v="62934639"/>
    <n v="24979841"/>
    <n v="87914480"/>
    <n v="73836109"/>
    <n v="29246437"/>
    <n v="103082546"/>
    <n v="85.24"/>
    <n v="85.41"/>
    <n v="85.29"/>
    <d v="2022-08-01T00:00:00"/>
  </r>
  <r>
    <n v="2022"/>
    <x v="8"/>
    <s v="Fall"/>
    <n v="1"/>
    <n v="63139630"/>
    <n v="8287331"/>
    <n v="71426961"/>
    <n v="622299"/>
    <n v="57089"/>
    <n v="679388"/>
    <n v="58463970"/>
    <n v="21860088"/>
    <n v="80324058"/>
    <n v="68920247"/>
    <n v="26063870"/>
    <n v="94984116"/>
    <n v="84.83"/>
    <n v="83.87"/>
    <n v="84.57"/>
    <d v="2022-09-01T00:00:00"/>
  </r>
  <r>
    <n v="2022"/>
    <x v="9"/>
    <s v="Fall"/>
    <n v="1"/>
    <n v="67935181"/>
    <n v="8414518"/>
    <n v="76349699"/>
    <n v="639282"/>
    <n v="57765"/>
    <n v="697047"/>
    <n v="62656863"/>
    <n v="21457977"/>
    <n v="84114840"/>
    <n v="72264313"/>
    <n v="25834667"/>
    <n v="98098981"/>
    <n v="86.71"/>
    <n v="83.06"/>
    <n v="85.74"/>
    <d v="2022-10-01T00:00:00"/>
  </r>
  <r>
    <n v="2022"/>
    <x v="10"/>
    <s v="Fall"/>
    <n v="1"/>
    <n v="63680032"/>
    <n v="8216914"/>
    <n v="71896946"/>
    <n v="605075"/>
    <n v="59745"/>
    <n v="664820"/>
    <n v="59194297"/>
    <n v="19692450"/>
    <n v="78886747"/>
    <n v="70250775"/>
    <n v="24616723"/>
    <n v="94867498"/>
    <n v="84.26"/>
    <n v="80"/>
    <n v="83.15"/>
    <d v="2022-11-01T00:00:00"/>
  </r>
  <r>
    <n v="2022"/>
    <x v="11"/>
    <s v="Fall"/>
    <n v="1"/>
    <n v="62482296"/>
    <n v="9405384"/>
    <n v="71887680"/>
    <n v="596437"/>
    <n v="67511"/>
    <n v="663948"/>
    <n v="59724506"/>
    <n v="22595815"/>
    <n v="82320321"/>
    <n v="71301260"/>
    <n v="27343999"/>
    <n v="98645259"/>
    <n v="83.76"/>
    <n v="82.64"/>
    <n v="83.45"/>
    <d v="2022-12-01T00:00:00"/>
  </r>
  <r>
    <n v="2023"/>
    <x v="0"/>
    <s v="Winter"/>
    <n v="1"/>
    <n v="58284200"/>
    <n v="9066833"/>
    <n v="67351033"/>
    <n v="605944"/>
    <n v="66859"/>
    <n v="672803"/>
    <n v="55627743"/>
    <n v="21021245"/>
    <n v="76648988"/>
    <n v="72122699"/>
    <n v="26809510"/>
    <n v="98932209"/>
    <n v="77.13"/>
    <n v="78.41"/>
    <n v="77.48"/>
    <d v="2023-01-01T00:00:00"/>
  </r>
  <r>
    <n v="2023"/>
    <x v="1"/>
    <s v="Winter"/>
    <n v="1"/>
    <n v="56729998"/>
    <n v="8066893"/>
    <n v="64796891"/>
    <n v="567702"/>
    <n v="60643"/>
    <n v="628345"/>
    <n v="53329402"/>
    <n v="18254936"/>
    <n v="71584338"/>
    <n v="67037368"/>
    <n v="24211736"/>
    <n v="91249104"/>
    <n v="79.55"/>
    <n v="75.400000000000006"/>
    <n v="78.45"/>
    <d v="2023-02-01T00:00:00"/>
  </r>
  <r>
    <n v="2023"/>
    <x v="2"/>
    <s v="Spring"/>
    <n v="1"/>
    <n v="69708556"/>
    <n v="10094584"/>
    <n v="79803140"/>
    <n v="655836"/>
    <n v="71076"/>
    <n v="726912"/>
    <n v="65767207"/>
    <n v="23802743"/>
    <n v="89569950"/>
    <n v="78074142"/>
    <n v="28689319"/>
    <n v="106763461"/>
    <n v="84.24"/>
    <n v="82.97"/>
    <n v="83.9"/>
    <d v="2023-03-01T00:00:00"/>
  </r>
  <r>
    <n v="2023"/>
    <x v="3"/>
    <s v="Spring"/>
    <n v="1"/>
    <n v="67571574"/>
    <n v="10008645"/>
    <n v="77580219"/>
    <n v="636160"/>
    <n v="70078"/>
    <n v="706238"/>
    <n v="63426143"/>
    <n v="24708597"/>
    <n v="88134739"/>
    <n v="74335449"/>
    <n v="29988666"/>
    <n v="104324115"/>
    <n v="85.32"/>
    <n v="82.39"/>
    <n v="84.48"/>
    <d v="2023-04-01T00:00:00"/>
  </r>
  <r>
    <n v="2023"/>
    <x v="4"/>
    <s v="Spring"/>
    <n v="1"/>
    <n v="71423653"/>
    <n v="10358666"/>
    <n v="81782319"/>
    <n v="667331"/>
    <n v="71924"/>
    <n v="739255"/>
    <n v="66743565"/>
    <n v="26805432"/>
    <n v="93548998"/>
    <n v="77821407"/>
    <n v="31950687"/>
    <n v="109772094"/>
    <n v="85.77"/>
    <n v="83.9"/>
    <n v="85.22"/>
    <d v="2023-05-01T00:00:00"/>
  </r>
  <r>
    <n v="2023"/>
    <x v="5"/>
    <s v="Summer"/>
    <n v="1"/>
    <n v="72482621"/>
    <n v="11544505"/>
    <n v="84027126"/>
    <n v="661293"/>
    <n v="75279"/>
    <n v="736572"/>
    <n v="68789127"/>
    <n v="29883465"/>
    <n v="98672591"/>
    <n v="78058358"/>
    <n v="33410671"/>
    <n v="111469028"/>
    <n v="88.13"/>
    <n v="89.44"/>
    <n v="88.52"/>
    <d v="2023-06-01T00:00:00"/>
  </r>
  <r>
    <n v="2023"/>
    <x v="6"/>
    <s v="Summer"/>
    <n v="1"/>
    <n v="75378157"/>
    <n v="12432615"/>
    <n v="87810772"/>
    <n v="684939"/>
    <n v="79738"/>
    <n v="764677"/>
    <n v="72267904"/>
    <n v="31376000"/>
    <n v="103643904"/>
    <n v="81986010"/>
    <n v="35326191"/>
    <n v="117312202"/>
    <n v="88.15"/>
    <n v="88.82"/>
    <n v="88.35"/>
    <d v="2023-07-01T00:00:00"/>
  </r>
  <r>
    <n v="2023"/>
    <x v="7"/>
    <s v="Summer"/>
    <n v="1"/>
    <n v="71477988"/>
    <n v="11572149"/>
    <n v="83050137"/>
    <n v="691482"/>
    <n v="77137"/>
    <n v="768619"/>
    <n v="67933484"/>
    <n v="29938507"/>
    <n v="97871992"/>
    <n v="81997399"/>
    <n v="34908793"/>
    <n v="116906192"/>
    <n v="82.85"/>
    <n v="85.76"/>
    <n v="83.72"/>
    <d v="2023-08-01T00:00:00"/>
  </r>
  <r>
    <n v="2023"/>
    <x v="8"/>
    <s v="Fall"/>
    <n v="1"/>
    <n v="66858490"/>
    <n v="9392985"/>
    <n v="76251475"/>
    <n v="649308"/>
    <n v="64241"/>
    <n v="713549"/>
    <n v="61777546"/>
    <n v="26076318"/>
    <n v="87853864"/>
    <n v="75748336"/>
    <n v="31231710"/>
    <n v="106980046"/>
    <n v="81.56"/>
    <n v="83.49"/>
    <n v="82.12"/>
    <d v="2023-09-0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29"/>
  </r>
  <r>
    <x v="43"/>
  </r>
  <r>
    <x v="29"/>
  </r>
  <r>
    <x v="39"/>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54"/>
  </r>
  <r>
    <x v="72"/>
  </r>
  <r>
    <x v="73"/>
  </r>
  <r>
    <x v="74"/>
  </r>
  <r>
    <x v="75"/>
  </r>
  <r>
    <x v="9"/>
  </r>
  <r>
    <x v="76"/>
  </r>
  <r>
    <x v="77"/>
  </r>
  <r>
    <x v="61"/>
  </r>
  <r>
    <x v="78"/>
  </r>
  <r>
    <x v="79"/>
  </r>
  <r>
    <x v="58"/>
  </r>
  <r>
    <x v="80"/>
  </r>
  <r>
    <x v="81"/>
  </r>
  <r>
    <x v="82"/>
  </r>
  <r>
    <x v="81"/>
  </r>
  <r>
    <x v="83"/>
  </r>
  <r>
    <x v="54"/>
  </r>
  <r>
    <x v="84"/>
  </r>
  <r>
    <x v="8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n v="2003"/>
    <n v="1"/>
    <x v="0"/>
    <x v="0"/>
    <n v="43032450"/>
    <n v="4905830"/>
    <n v="47938280"/>
    <m/>
    <n v="785160"/>
    <n v="57667"/>
    <n v="842827"/>
    <n v="36211422"/>
    <n v="12885980"/>
    <n v="49097402"/>
    <n v="56191300"/>
    <n v="17968572"/>
    <n v="74159872"/>
    <n v="64.44"/>
    <n v="71.709999999999994"/>
    <n v="66.2"/>
    <d v="2003-01-01T00:00:00"/>
    <s v="Winter"/>
  </r>
  <r>
    <n v="2003"/>
    <n v="2"/>
    <x v="0"/>
    <x v="0"/>
    <n v="41166780"/>
    <n v="4245366"/>
    <n v="45412146"/>
    <n v="47938280"/>
    <n v="690351"/>
    <n v="51259"/>
    <n v="741610"/>
    <n v="34148439"/>
    <n v="10715468"/>
    <n v="44863907"/>
    <n v="50088434"/>
    <n v="15587880"/>
    <n v="65676314"/>
    <n v="68.180000000000007"/>
    <n v="68.739999999999995"/>
    <n v="68.31"/>
    <d v="2003-02-01T00:00:00"/>
    <s v="Winter"/>
  </r>
  <r>
    <n v="2003"/>
    <n v="3"/>
    <x v="1"/>
    <x v="0"/>
    <n v="49992700"/>
    <n v="5008613"/>
    <n v="55001313"/>
    <n v="45412146"/>
    <n v="797194"/>
    <n v="58926"/>
    <n v="856120"/>
    <n v="41774564"/>
    <n v="12567068"/>
    <n v="54341633"/>
    <n v="57592901"/>
    <n v="17753174"/>
    <n v="75346075"/>
    <n v="72.53"/>
    <n v="70.790000000000006"/>
    <n v="72.12"/>
    <d v="2003-03-01T00:00:00"/>
    <s v="Spring"/>
  </r>
  <r>
    <n v="2003"/>
    <n v="4"/>
    <x v="1"/>
    <x v="0"/>
    <n v="47033260"/>
    <n v="4345444"/>
    <n v="51378704"/>
    <n v="55001313"/>
    <n v="766260"/>
    <n v="55005"/>
    <n v="821265"/>
    <n v="39465980"/>
    <n v="10370592"/>
    <n v="49836572"/>
    <n v="54639679"/>
    <n v="15528761"/>
    <n v="70168440"/>
    <n v="72.23"/>
    <n v="66.78"/>
    <n v="71.02"/>
    <d v="2003-04-01T00:00:00"/>
    <s v="Spring"/>
  </r>
  <r>
    <n v="2003"/>
    <n v="5"/>
    <x v="1"/>
    <x v="0"/>
    <n v="49152352"/>
    <n v="4610834"/>
    <n v="53763186"/>
    <n v="51378704"/>
    <n v="789397"/>
    <n v="55265"/>
    <n v="844662"/>
    <n v="41001934"/>
    <n v="11575026"/>
    <n v="52576960"/>
    <n v="55349897"/>
    <n v="15629821"/>
    <n v="70979718"/>
    <n v="74.08"/>
    <n v="74.06"/>
    <n v="74.069999999999993"/>
    <d v="2003-05-01T00:00:00"/>
    <s v="Spring"/>
  </r>
  <r>
    <n v="2003"/>
    <n v="6"/>
    <x v="2"/>
    <x v="0"/>
    <n v="52209516"/>
    <n v="5411504"/>
    <n v="57621020"/>
    <n v="53763186"/>
    <n v="798351"/>
    <n v="58225"/>
    <n v="856576"/>
    <n v="44492972"/>
    <n v="13918185"/>
    <n v="58411157"/>
    <n v="56555517"/>
    <n v="17191579"/>
    <n v="73747096"/>
    <n v="78.67"/>
    <n v="80.959999999999994"/>
    <n v="79.2"/>
    <d v="2003-06-01T00:00:00"/>
    <s v="Summer"/>
  </r>
  <r>
    <n v="2003"/>
    <n v="7"/>
    <x v="2"/>
    <x v="0"/>
    <n v="55810773"/>
    <n v="6191120"/>
    <n v="62001893"/>
    <n v="57621020"/>
    <n v="831619"/>
    <n v="62957"/>
    <n v="894576"/>
    <n v="48321924"/>
    <n v="15516794"/>
    <n v="63838718"/>
    <n v="59617048"/>
    <n v="18701759"/>
    <n v="78318807"/>
    <n v="81.05"/>
    <n v="82.97"/>
    <n v="81.510000000000005"/>
    <d v="2003-07-01T00:00:00"/>
    <s v="Summer"/>
  </r>
  <r>
    <n v="2003"/>
    <n v="8"/>
    <x v="2"/>
    <x v="0"/>
    <n v="53920973"/>
    <n v="6272332"/>
    <n v="60193305"/>
    <n v="62001893"/>
    <n v="830737"/>
    <n v="63760"/>
    <n v="894497"/>
    <n v="46982527"/>
    <n v="15906430"/>
    <n v="62888957"/>
    <n v="59634190"/>
    <n v="19144885"/>
    <n v="78779075"/>
    <n v="78.78"/>
    <n v="83.08"/>
    <n v="79.83"/>
    <d v="2003-08-01T00:00:00"/>
    <s v="Summer"/>
  </r>
  <r>
    <n v="2003"/>
    <n v="9"/>
    <x v="3"/>
    <x v="0"/>
    <n v="44213408"/>
    <n v="4824596"/>
    <n v="49038004"/>
    <n v="60193305"/>
    <n v="781804"/>
    <n v="54017"/>
    <n v="835821"/>
    <n v="36819820"/>
    <n v="13570889"/>
    <n v="50390709"/>
    <n v="54973852"/>
    <n v="17820478"/>
    <n v="72794329"/>
    <n v="66.98"/>
    <n v="76.150000000000006"/>
    <n v="69.22"/>
    <d v="2003-09-01T00:00:00"/>
    <s v="Fall"/>
  </r>
  <r>
    <n v="2003"/>
    <n v="10"/>
    <x v="3"/>
    <x v="0"/>
    <n v="49944931"/>
    <n v="4920822"/>
    <n v="54865753"/>
    <n v="49038004"/>
    <n v="818308"/>
    <n v="54272"/>
    <n v="872580"/>
    <n v="41480412"/>
    <n v="13447446"/>
    <n v="54927858"/>
    <n v="58001020"/>
    <n v="17694417"/>
    <n v="75695437"/>
    <n v="71.52"/>
    <n v="76"/>
    <n v="72.56"/>
    <d v="2003-10-01T00:00:00"/>
    <s v="Fall"/>
  </r>
  <r>
    <n v="2003"/>
    <n v="11"/>
    <x v="3"/>
    <x v="0"/>
    <n v="47059495"/>
    <n v="4845759"/>
    <n v="51905254"/>
    <n v="54865753"/>
    <n v="765842"/>
    <n v="53817"/>
    <n v="819659"/>
    <n v="39333528"/>
    <n v="12817176"/>
    <n v="52150704"/>
    <n v="55785892"/>
    <n v="16801272"/>
    <n v="72587163"/>
    <n v="70.510000000000005"/>
    <n v="76.290000000000006"/>
    <n v="71.849999999999994"/>
    <d v="2003-11-01T00:00:00"/>
    <s v="Fall"/>
  </r>
  <r>
    <n v="2003"/>
    <n v="12"/>
    <x v="3"/>
    <x v="0"/>
    <n v="49757124"/>
    <n v="5358991"/>
    <n v="55116115"/>
    <n v="51905254"/>
    <n v="798392"/>
    <n v="57578"/>
    <n v="855970"/>
    <n v="42699596"/>
    <n v="13929565"/>
    <n v="56629161"/>
    <n v="58842551"/>
    <n v="17648530"/>
    <n v="76491081"/>
    <n v="72.569999999999993"/>
    <n v="78.930000000000007"/>
    <n v="74.03"/>
    <d v="2003-12-01T00:00:00"/>
    <s v="Winter"/>
  </r>
  <r>
    <n v="2004"/>
    <n v="1"/>
    <x v="0"/>
    <x v="0"/>
    <n v="43815481"/>
    <n v="5255246"/>
    <n v="49070727"/>
    <n v="55116115"/>
    <n v="787237"/>
    <n v="58293"/>
    <n v="845530"/>
    <n v="38114607"/>
    <n v="13515639"/>
    <n v="51630246"/>
    <n v="58306593"/>
    <n v="17988081"/>
    <n v="76294673"/>
    <n v="65.37"/>
    <n v="75.14"/>
    <n v="67.67"/>
    <d v="2004-01-01T00:00:00"/>
    <s v="Winter"/>
  </r>
  <r>
    <n v="2004"/>
    <n v="2"/>
    <x v="0"/>
    <x v="0"/>
    <n v="45306597"/>
    <n v="4941629"/>
    <n v="50248226"/>
    <n v="49070727"/>
    <n v="761618"/>
    <n v="55822"/>
    <n v="817440"/>
    <n v="38575084"/>
    <n v="12153432"/>
    <n v="50728516"/>
    <n v="56180696"/>
    <n v="16923112"/>
    <n v="73103808"/>
    <n v="68.66"/>
    <n v="71.819999999999993"/>
    <n v="69.39"/>
    <d v="2004-02-01T00:00:00"/>
    <s v="Winter"/>
  </r>
  <r>
    <n v="2004"/>
    <n v="3"/>
    <x v="1"/>
    <x v="0"/>
    <n v="54147227"/>
    <n v="5805703"/>
    <n v="59952930"/>
    <n v="50248226"/>
    <n v="834476"/>
    <n v="60649"/>
    <n v="895125"/>
    <n v="46507739"/>
    <n v="14735428"/>
    <n v="61243168"/>
    <n v="61833579"/>
    <n v="18362220"/>
    <n v="80195799"/>
    <n v="75.209999999999994"/>
    <n v="80.25"/>
    <n v="76.37"/>
    <d v="2004-03-01T00:00:00"/>
    <s v="Spring"/>
  </r>
  <r>
    <n v="2004"/>
    <n v="4"/>
    <x v="1"/>
    <x v="0"/>
    <n v="53253194"/>
    <n v="5664027"/>
    <n v="58917221"/>
    <n v="59952930"/>
    <n v="817899"/>
    <n v="60455"/>
    <n v="878354"/>
    <n v="45795662"/>
    <n v="14338191"/>
    <n v="60133853"/>
    <n v="60067863"/>
    <n v="18457525"/>
    <n v="78525388"/>
    <n v="76.239999999999995"/>
    <n v="77.680000000000007"/>
    <n v="76.58"/>
    <d v="2004-04-01T00:00:00"/>
    <s v="Spring"/>
  </r>
  <r>
    <n v="2004"/>
    <n v="5"/>
    <x v="1"/>
    <x v="0"/>
    <n v="53030873"/>
    <n v="5767517"/>
    <n v="58798390"/>
    <n v="58917221"/>
    <n v="833350"/>
    <n v="62596"/>
    <n v="895946"/>
    <n v="45350262"/>
    <n v="15388457"/>
    <n v="60738719"/>
    <n v="60923099"/>
    <n v="19844360"/>
    <n v="80767459"/>
    <n v="74.44"/>
    <n v="77.55"/>
    <n v="75.2"/>
    <d v="2004-05-01T00:00:00"/>
    <s v="Spring"/>
  </r>
  <r>
    <n v="2004"/>
    <n v="6"/>
    <x v="2"/>
    <x v="0"/>
    <n v="56959142"/>
    <n v="6405771"/>
    <n v="63364913"/>
    <n v="58798390"/>
    <n v="836916"/>
    <n v="64256"/>
    <n v="901172"/>
    <n v="49774219"/>
    <n v="17006831"/>
    <n v="66781050"/>
    <n v="61629864"/>
    <n v="20355959"/>
    <n v="81985822"/>
    <n v="80.760000000000005"/>
    <n v="83.55"/>
    <n v="81.45"/>
    <d v="2004-06-01T00:00:00"/>
    <s v="Summer"/>
  </r>
  <r>
    <n v="2004"/>
    <n v="7"/>
    <x v="2"/>
    <x v="0"/>
    <n v="59614287"/>
    <n v="7183275"/>
    <n v="66797562"/>
    <n v="63364913"/>
    <n v="871049"/>
    <n v="69890"/>
    <n v="940939"/>
    <n v="52730292"/>
    <n v="18182782"/>
    <n v="70913074"/>
    <n v="64095669"/>
    <n v="21731193"/>
    <n v="85826863"/>
    <n v="82.27"/>
    <n v="83.67"/>
    <n v="82.62"/>
    <d v="2004-07-01T00:00:00"/>
    <s v="Summer"/>
  </r>
  <r>
    <n v="2004"/>
    <n v="8"/>
    <x v="2"/>
    <x v="0"/>
    <n v="57380873"/>
    <n v="6986797"/>
    <n v="64367670"/>
    <n v="66797562"/>
    <n v="882979"/>
    <n v="68332"/>
    <n v="951311"/>
    <n v="50816430"/>
    <n v="17760431"/>
    <n v="68576861"/>
    <n v="64479721"/>
    <n v="21640665"/>
    <n v="86120386"/>
    <n v="78.81"/>
    <n v="82.07"/>
    <n v="79.63"/>
    <d v="2004-08-01T00:00:00"/>
    <s v="Summer"/>
  </r>
  <r>
    <n v="2004"/>
    <n v="9"/>
    <x v="3"/>
    <x v="0"/>
    <n v="47671785"/>
    <n v="5396245"/>
    <n v="53068030"/>
    <n v="64367670"/>
    <n v="819294"/>
    <n v="56541"/>
    <n v="875835"/>
    <n v="40644161"/>
    <n v="15247819"/>
    <n v="55891980"/>
    <n v="57694884"/>
    <n v="19502122"/>
    <n v="77197006"/>
    <n v="70.45"/>
    <n v="78.19"/>
    <n v="72.400000000000006"/>
    <d v="2004-09-01T00:00:00"/>
    <s v="Fall"/>
  </r>
  <r>
    <n v="2004"/>
    <n v="10"/>
    <x v="3"/>
    <x v="0"/>
    <n v="54167489"/>
    <n v="5629964"/>
    <n v="59797453"/>
    <n v="53068030"/>
    <n v="861291"/>
    <n v="58659"/>
    <n v="919950"/>
    <n v="45765588"/>
    <n v="15384002"/>
    <n v="61149590"/>
    <n v="61604719"/>
    <n v="19883889"/>
    <n v="81488607"/>
    <n v="74.290000000000006"/>
    <n v="77.37"/>
    <n v="75.040000000000006"/>
    <d v="2004-10-01T00:00:00"/>
    <s v="Fall"/>
  </r>
  <r>
    <n v="2004"/>
    <n v="11"/>
    <x v="3"/>
    <x v="0"/>
    <n v="51781700"/>
    <n v="5384214"/>
    <n v="57165914"/>
    <n v="59797453"/>
    <n v="820048"/>
    <n v="58312"/>
    <n v="878360"/>
    <n v="43561708"/>
    <n v="14118725"/>
    <n v="57680434"/>
    <n v="59431353"/>
    <n v="18848375"/>
    <n v="78279728"/>
    <n v="73.3"/>
    <n v="74.91"/>
    <n v="73.69"/>
    <d v="2004-11-01T00:00:00"/>
    <s v="Fall"/>
  </r>
  <r>
    <n v="2004"/>
    <n v="12"/>
    <x v="3"/>
    <x v="0"/>
    <n v="52639838"/>
    <n v="6041853"/>
    <n v="58681691"/>
    <n v="57165914"/>
    <n v="836232"/>
    <n v="63469"/>
    <n v="899701"/>
    <n v="45181080"/>
    <n v="15523403"/>
    <n v="60704483"/>
    <n v="62054841"/>
    <n v="20254013"/>
    <n v="82308853"/>
    <n v="72.81"/>
    <n v="76.64"/>
    <n v="73.75"/>
    <d v="2004-12-01T00:00:00"/>
    <s v="Winter"/>
  </r>
  <r>
    <n v="2005"/>
    <n v="1"/>
    <x v="0"/>
    <x v="0"/>
    <n v="47977657"/>
    <n v="6158509"/>
    <n v="54136166"/>
    <n v="58681691"/>
    <n v="807338"/>
    <n v="64803"/>
    <n v="872141"/>
    <n v="41609095"/>
    <n v="15580719"/>
    <n v="57189815"/>
    <n v="59580514"/>
    <n v="20571388"/>
    <n v="80151902"/>
    <n v="69.84"/>
    <n v="75.739999999999995"/>
    <n v="71.349999999999994"/>
    <d v="2005-01-01T00:00:00"/>
    <s v="Winter"/>
  </r>
  <r>
    <n v="2005"/>
    <n v="2"/>
    <x v="0"/>
    <x v="0"/>
    <n v="47074882"/>
    <n v="5499590"/>
    <n v="52574472"/>
    <n v="54136166"/>
    <n v="760955"/>
    <n v="59351"/>
    <n v="820306"/>
    <n v="40114944"/>
    <n v="13470430"/>
    <n v="53585374"/>
    <n v="55964342"/>
    <n v="18651403"/>
    <n v="74615745"/>
    <n v="71.680000000000007"/>
    <n v="72.22"/>
    <n v="71.819999999999993"/>
    <d v="2005-02-01T00:00:00"/>
    <s v="Winter"/>
  </r>
  <r>
    <n v="2005"/>
    <n v="3"/>
    <x v="1"/>
    <x v="0"/>
    <n v="58838975"/>
    <n v="6964313"/>
    <n v="65803288"/>
    <n v="52574472"/>
    <n v="866593"/>
    <n v="68802"/>
    <n v="935395"/>
    <n v="50789921"/>
    <n v="17293704"/>
    <n v="68083625"/>
    <n v="63743171"/>
    <n v="21201138"/>
    <n v="84944309"/>
    <n v="79.680000000000007"/>
    <n v="81.569999999999993"/>
    <n v="80.150000000000006"/>
    <d v="2005-03-01T00:00:00"/>
    <s v="Spring"/>
  </r>
  <r>
    <n v="2005"/>
    <n v="4"/>
    <x v="1"/>
    <x v="0"/>
    <n v="54908859"/>
    <n v="6388741"/>
    <n v="61297600"/>
    <n v="65803288"/>
    <n v="838122"/>
    <n v="66430"/>
    <n v="904552"/>
    <n v="47002623"/>
    <n v="16218686"/>
    <n v="63221309"/>
    <n v="61262216"/>
    <n v="20990887"/>
    <n v="82253103"/>
    <n v="76.72"/>
    <n v="77.27"/>
    <n v="76.86"/>
    <d v="2005-04-01T00:00:00"/>
    <s v="Spring"/>
  </r>
  <r>
    <n v="2005"/>
    <n v="5"/>
    <x v="1"/>
    <x v="0"/>
    <n v="57323876"/>
    <n v="6575254"/>
    <n v="63899130"/>
    <n v="61297600"/>
    <n v="872961"/>
    <n v="68225"/>
    <n v="941186"/>
    <n v="49016422"/>
    <n v="17394296"/>
    <n v="66410718"/>
    <n v="63160148"/>
    <n v="21943039"/>
    <n v="85103187"/>
    <n v="77.61"/>
    <n v="79.27"/>
    <n v="78.040000000000006"/>
    <d v="2005-05-01T00:00:00"/>
    <s v="Spring"/>
  </r>
  <r>
    <n v="2005"/>
    <n v="6"/>
    <x v="2"/>
    <x v="0"/>
    <n v="59724061"/>
    <n v="7123126"/>
    <n v="66847187"/>
    <n v="63899130"/>
    <n v="863422"/>
    <n v="69814"/>
    <n v="933236"/>
    <n v="52181786"/>
    <n v="18750411"/>
    <n v="70932197"/>
    <n v="63378463"/>
    <n v="22373102"/>
    <n v="85751565"/>
    <n v="82.33"/>
    <n v="83.81"/>
    <n v="82.72"/>
    <d v="2005-06-01T00:00:00"/>
    <s v="Summer"/>
  </r>
  <r>
    <n v="2005"/>
    <n v="7"/>
    <x v="2"/>
    <x v="0"/>
    <n v="62396446"/>
    <n v="7867346"/>
    <n v="70263792"/>
    <n v="66847187"/>
    <n v="887084"/>
    <n v="74818"/>
    <n v="961902"/>
    <n v="55290372"/>
    <n v="20037449"/>
    <n v="75327821"/>
    <n v="65813398"/>
    <n v="23792009"/>
    <n v="89605407"/>
    <n v="84.01"/>
    <n v="84.22"/>
    <n v="84.07"/>
    <d v="2005-07-01T00:00:00"/>
    <s v="Summer"/>
  </r>
  <r>
    <n v="2005"/>
    <n v="8"/>
    <x v="2"/>
    <x v="0"/>
    <n v="59110633"/>
    <n v="7419187"/>
    <n v="66529820"/>
    <n v="70263792"/>
    <n v="890938"/>
    <n v="73164"/>
    <n v="964102"/>
    <n v="52510003"/>
    <n v="19205090"/>
    <n v="71715093"/>
    <n v="65309256"/>
    <n v="23418626"/>
    <n v="88727882"/>
    <n v="80.400000000000006"/>
    <n v="82.01"/>
    <n v="80.83"/>
    <d v="2005-08-01T00:00:00"/>
    <s v="Summer"/>
  </r>
  <r>
    <n v="2005"/>
    <n v="9"/>
    <x v="3"/>
    <x v="0"/>
    <n v="50600325"/>
    <n v="5933841"/>
    <n v="56534166"/>
    <n v="66529820"/>
    <n v="814935"/>
    <n v="61812"/>
    <n v="876747"/>
    <n v="43524915"/>
    <n v="16631990"/>
    <n v="60156904"/>
    <n v="58674828"/>
    <n v="21425051"/>
    <n v="80099879"/>
    <n v="74.180000000000007"/>
    <n v="77.63"/>
    <n v="75.099999999999994"/>
    <d v="2005-09-01T00:00:00"/>
    <s v="Fall"/>
  </r>
  <r>
    <n v="2005"/>
    <n v="10"/>
    <x v="3"/>
    <x v="0"/>
    <n v="53738093"/>
    <n v="5873755"/>
    <n v="59611848"/>
    <n v="56534166"/>
    <n v="831265"/>
    <n v="61017"/>
    <n v="892282"/>
    <n v="45895538"/>
    <n v="16089364"/>
    <n v="61984902"/>
    <n v="60392331"/>
    <n v="21033727"/>
    <n v="81426057"/>
    <n v="76"/>
    <n v="76.489999999999995"/>
    <n v="76.12"/>
    <d v="2005-10-01T00:00:00"/>
    <s v="Fall"/>
  </r>
  <r>
    <n v="2005"/>
    <n v="11"/>
    <x v="3"/>
    <x v="0"/>
    <n v="52766404"/>
    <n v="5644497"/>
    <n v="58410901"/>
    <n v="59611848"/>
    <n v="797460"/>
    <n v="59265"/>
    <n v="856725"/>
    <n v="45109831"/>
    <n v="14771787"/>
    <n v="59881618"/>
    <n v="58886853"/>
    <n v="19401869"/>
    <n v="78288722"/>
    <n v="76.599999999999994"/>
    <n v="76.14"/>
    <n v="76.489999999999995"/>
    <d v="2005-11-01T00:00:00"/>
    <s v="Fall"/>
  </r>
  <r>
    <n v="2005"/>
    <n v="12"/>
    <x v="3"/>
    <x v="0"/>
    <n v="52801276"/>
    <n v="6395022"/>
    <n v="59196298"/>
    <n v="58410901"/>
    <n v="802067"/>
    <n v="65240"/>
    <n v="867307"/>
    <n v="46190194"/>
    <n v="16339078"/>
    <n v="62529273"/>
    <n v="60889086"/>
    <n v="21153995"/>
    <n v="82043081"/>
    <n v="75.86"/>
    <n v="77.239999999999995"/>
    <n v="76.22"/>
    <d v="2005-12-01T00:00:00"/>
    <s v="Winter"/>
  </r>
  <r>
    <n v="2006"/>
    <n v="1"/>
    <x v="0"/>
    <x v="0"/>
    <n v="48886043"/>
    <n v="6402933"/>
    <n v="55288976"/>
    <n v="59196298"/>
    <n v="785364"/>
    <n v="66236"/>
    <n v="851600"/>
    <n v="42966268"/>
    <n v="16157877"/>
    <n v="59124144"/>
    <n v="59096204"/>
    <n v="21396430"/>
    <n v="80492634"/>
    <n v="72.709999999999994"/>
    <n v="75.52"/>
    <n v="73.45"/>
    <d v="2006-01-01T00:00:00"/>
    <s v="Winter"/>
  </r>
  <r>
    <n v="2006"/>
    <n v="2"/>
    <x v="0"/>
    <x v="0"/>
    <n v="47348142"/>
    <n v="5706909"/>
    <n v="53055051"/>
    <n v="55288976"/>
    <n v="715843"/>
    <n v="60661"/>
    <n v="776504"/>
    <n v="40927215"/>
    <n v="13913445"/>
    <n v="54840660"/>
    <n v="53733108"/>
    <n v="19241787"/>
    <n v="72974894"/>
    <n v="76.17"/>
    <n v="72.31"/>
    <n v="75.150000000000006"/>
    <d v="2006-02-01T00:00:00"/>
    <s v="Winter"/>
  </r>
  <r>
    <n v="2006"/>
    <n v="3"/>
    <x v="1"/>
    <x v="0"/>
    <n v="58286011"/>
    <n v="7221839"/>
    <n v="65507850"/>
    <n v="53055051"/>
    <n v="823793"/>
    <n v="70264"/>
    <n v="894057"/>
    <n v="50693391"/>
    <n v="18095206"/>
    <n v="68788597"/>
    <n v="62257065"/>
    <n v="22367092"/>
    <n v="84624157"/>
    <n v="81.430000000000007"/>
    <n v="80.900000000000006"/>
    <n v="81.290000000000006"/>
    <d v="2006-03-01T00:00:00"/>
    <s v="Spring"/>
  </r>
  <r>
    <n v="2006"/>
    <n v="4"/>
    <x v="1"/>
    <x v="0"/>
    <n v="55828555"/>
    <n v="7036629"/>
    <n v="62865184"/>
    <n v="65507850"/>
    <n v="794390"/>
    <n v="68537"/>
    <n v="862927"/>
    <n v="48800883"/>
    <n v="17685346"/>
    <n v="66486229"/>
    <n v="59917615"/>
    <n v="22246457"/>
    <n v="82164072"/>
    <n v="81.45"/>
    <n v="79.5"/>
    <n v="80.92"/>
    <d v="2006-04-01T00:00:00"/>
    <s v="Spring"/>
  </r>
  <r>
    <n v="2006"/>
    <n v="5"/>
    <x v="1"/>
    <x v="0"/>
    <n v="57145193"/>
    <n v="6997054"/>
    <n v="64142247"/>
    <n v="62865184"/>
    <n v="824051"/>
    <n v="68676"/>
    <n v="892727"/>
    <n v="49302219"/>
    <n v="18465819"/>
    <n v="67768038"/>
    <n v="61284297"/>
    <n v="23102699"/>
    <n v="84386996"/>
    <n v="80.45"/>
    <n v="79.930000000000007"/>
    <n v="80.31"/>
    <d v="2006-05-01T00:00:00"/>
    <s v="Spring"/>
  </r>
  <r>
    <n v="2006"/>
    <n v="6"/>
    <x v="2"/>
    <x v="0"/>
    <n v="59297121"/>
    <n v="7625061"/>
    <n v="66922182"/>
    <n v="64142247"/>
    <n v="820310"/>
    <n v="71424"/>
    <n v="891734"/>
    <n v="52200272"/>
    <n v="20275368"/>
    <n v="72475640"/>
    <n v="61692651"/>
    <n v="23821736"/>
    <n v="85514388"/>
    <n v="84.61"/>
    <n v="85.11"/>
    <n v="84.75"/>
    <d v="2006-06-01T00:00:00"/>
    <s v="Summer"/>
  </r>
  <r>
    <n v="2006"/>
    <n v="7"/>
    <x v="2"/>
    <x v="0"/>
    <n v="60838606"/>
    <n v="8340003"/>
    <n v="69178609"/>
    <n v="66922182"/>
    <n v="852114"/>
    <n v="76301"/>
    <n v="928415"/>
    <n v="54506446"/>
    <n v="21510904"/>
    <n v="76017350"/>
    <n v="64111164"/>
    <n v="25185579"/>
    <n v="89296743"/>
    <n v="85.02"/>
    <n v="85.41"/>
    <n v="85.13"/>
    <d v="2006-07-01T00:00:00"/>
    <s v="Summer"/>
  </r>
  <r>
    <n v="2006"/>
    <n v="8"/>
    <x v="2"/>
    <x v="0"/>
    <n v="58303233"/>
    <n v="7843848"/>
    <n v="66147081"/>
    <n v="69178609"/>
    <n v="866551"/>
    <n v="74735"/>
    <n v="941286"/>
    <n v="52074386"/>
    <n v="20342613"/>
    <n v="72416999"/>
    <n v="64332983"/>
    <n v="24888446"/>
    <n v="89221429"/>
    <n v="80.95"/>
    <n v="81.739999999999995"/>
    <n v="81.17"/>
    <d v="2006-08-01T00:00:00"/>
    <s v="Summer"/>
  </r>
  <r>
    <n v="2006"/>
    <n v="9"/>
    <x v="3"/>
    <x v="0"/>
    <n v="49949551"/>
    <n v="6189973"/>
    <n v="56139524"/>
    <n v="66147081"/>
    <n v="799777"/>
    <n v="62710"/>
    <n v="862487"/>
    <n v="43108587"/>
    <n v="17537122"/>
    <n v="60645709"/>
    <n v="58383462"/>
    <n v="22579257"/>
    <n v="80962719"/>
    <n v="73.84"/>
    <n v="77.67"/>
    <n v="74.91"/>
    <d v="2006-09-01T00:00:00"/>
    <s v="Fall"/>
  </r>
  <r>
    <n v="2006"/>
    <n v="10"/>
    <x v="3"/>
    <x v="0"/>
    <n v="55088983"/>
    <n v="6281017"/>
    <n v="61370000"/>
    <n v="56139524"/>
    <n v="828218"/>
    <n v="63105"/>
    <n v="891323"/>
    <n v="47137132"/>
    <n v="17365868"/>
    <n v="64503000"/>
    <n v="60802722"/>
    <n v="22654609"/>
    <n v="83457331"/>
    <n v="77.52"/>
    <n v="76.650000000000006"/>
    <n v="77.290000000000006"/>
    <d v="2006-10-01T00:00:00"/>
    <s v="Fall"/>
  </r>
  <r>
    <n v="2006"/>
    <n v="11"/>
    <x v="3"/>
    <x v="0"/>
    <n v="53852209"/>
    <n v="6173261"/>
    <n v="60025470"/>
    <n v="61370000"/>
    <n v="792523"/>
    <n v="61823"/>
    <n v="854346"/>
    <n v="45966808"/>
    <n v="16115237"/>
    <n v="62082045"/>
    <n v="58912308"/>
    <n v="20821119"/>
    <n v="79733427"/>
    <n v="78.03"/>
    <n v="77.400000000000006"/>
    <n v="77.86"/>
    <d v="2006-11-01T00:00:00"/>
    <s v="Fall"/>
  </r>
  <r>
    <n v="2006"/>
    <n v="12"/>
    <x v="3"/>
    <x v="0"/>
    <n v="53538970"/>
    <n v="6917055"/>
    <n v="60456025"/>
    <n v="60025470"/>
    <n v="805058"/>
    <n v="68978"/>
    <n v="874036"/>
    <n v="46835639"/>
    <n v="17704637"/>
    <n v="64540276"/>
    <n v="61161328"/>
    <n v="22721069"/>
    <n v="83882396"/>
    <n v="76.58"/>
    <n v="77.92"/>
    <n v="76.94"/>
    <d v="2006-12-01T00:00:00"/>
    <s v="Winter"/>
  </r>
  <r>
    <n v="2007"/>
    <n v="1"/>
    <x v="0"/>
    <x v="0"/>
    <n v="50022168"/>
    <n v="6854636"/>
    <n v="56876804"/>
    <n v="60456025"/>
    <n v="803924"/>
    <n v="69634"/>
    <n v="873558"/>
    <n v="43823680"/>
    <n v="17450335"/>
    <n v="61274015"/>
    <n v="60618488"/>
    <n v="22960840"/>
    <n v="83579327"/>
    <n v="72.290000000000006"/>
    <n v="76"/>
    <n v="73.31"/>
    <d v="2007-01-01T00:00:00"/>
    <s v="Winter"/>
  </r>
  <r>
    <n v="2007"/>
    <n v="2"/>
    <x v="0"/>
    <x v="0"/>
    <n v="47766421"/>
    <n v="6078593"/>
    <n v="53845014"/>
    <n v="56876804"/>
    <n v="724657"/>
    <n v="62711"/>
    <n v="787368"/>
    <n v="41270274"/>
    <n v="15087982"/>
    <n v="56358256"/>
    <n v="54490060"/>
    <n v="20624609"/>
    <n v="75114669"/>
    <n v="75.739999999999995"/>
    <n v="73.16"/>
    <n v="75.03"/>
    <d v="2007-02-01T00:00:00"/>
    <s v="Winter"/>
  </r>
  <r>
    <n v="2007"/>
    <n v="3"/>
    <x v="1"/>
    <x v="0"/>
    <n v="59244232"/>
    <n v="7647510"/>
    <n v="66891742"/>
    <n v="53845014"/>
    <n v="830373"/>
    <n v="72367"/>
    <n v="902740"/>
    <n v="51518429"/>
    <n v="19346351"/>
    <n v="70864780"/>
    <n v="63131522"/>
    <n v="23667344"/>
    <n v="86798866"/>
    <n v="81.599999999999994"/>
    <n v="81.739999999999995"/>
    <n v="81.64"/>
    <d v="2007-03-01T00:00:00"/>
    <s v="Spring"/>
  </r>
  <r>
    <n v="2007"/>
    <n v="4"/>
    <x v="1"/>
    <x v="0"/>
    <n v="57396328"/>
    <n v="7233785"/>
    <n v="64630113"/>
    <n v="66891742"/>
    <n v="809663"/>
    <n v="70037"/>
    <n v="879700"/>
    <n v="49772604"/>
    <n v="18462964"/>
    <n v="68235568"/>
    <n v="61124424"/>
    <n v="23325666"/>
    <n v="84450090"/>
    <n v="81.430000000000007"/>
    <n v="79.150000000000006"/>
    <n v="80.8"/>
    <d v="2007-04-01T00:00:00"/>
    <s v="Spring"/>
  </r>
  <r>
    <n v="2007"/>
    <n v="5"/>
    <x v="1"/>
    <x v="0"/>
    <n v="59283597"/>
    <n v="7244944"/>
    <n v="66528541"/>
    <n v="64630113"/>
    <n v="844074"/>
    <n v="70437"/>
    <n v="914511"/>
    <n v="51031835"/>
    <n v="19341759"/>
    <n v="70373594"/>
    <n v="62774346"/>
    <n v="24370452"/>
    <n v="87144798"/>
    <n v="81.290000000000006"/>
    <n v="79.37"/>
    <n v="80.75"/>
    <d v="2007-05-01T00:00:00"/>
    <s v="Spring"/>
  </r>
  <r>
    <n v="2007"/>
    <n v="6"/>
    <x v="2"/>
    <x v="0"/>
    <n v="61493934"/>
    <n v="7953495"/>
    <n v="69447429"/>
    <n v="66528541"/>
    <n v="832163"/>
    <n v="72797"/>
    <n v="904960"/>
    <n v="54018698"/>
    <n v="21325672"/>
    <n v="75344370"/>
    <n v="62620840"/>
    <n v="25295941"/>
    <n v="87916781"/>
    <n v="86.26"/>
    <n v="84.3"/>
    <n v="85.7"/>
    <d v="2007-06-01T00:00:00"/>
    <s v="Summer"/>
  </r>
  <r>
    <n v="2007"/>
    <n v="7"/>
    <x v="2"/>
    <x v="0"/>
    <n v="63457403"/>
    <n v="8696119"/>
    <n v="72153522"/>
    <n v="69447429"/>
    <n v="863658"/>
    <n v="77533"/>
    <n v="941191"/>
    <n v="56572990"/>
    <n v="22709269"/>
    <n v="79282259"/>
    <n v="65566709"/>
    <n v="26624388"/>
    <n v="92191098"/>
    <n v="86.28"/>
    <n v="85.29"/>
    <n v="86"/>
    <d v="2007-07-01T00:00:00"/>
    <s v="Summer"/>
  </r>
  <r>
    <n v="2007"/>
    <n v="8"/>
    <x v="2"/>
    <x v="0"/>
    <n v="62657667"/>
    <n v="8429481"/>
    <n v="71087148"/>
    <n v="72153522"/>
    <n v="872349"/>
    <n v="76818"/>
    <n v="949167"/>
    <n v="55682567"/>
    <n v="22060730"/>
    <n v="77743296"/>
    <n v="65556234"/>
    <n v="26525647"/>
    <n v="92081881"/>
    <n v="84.94"/>
    <n v="83.17"/>
    <n v="84.43"/>
    <d v="2007-08-01T00:00:00"/>
    <s v="Summer"/>
  </r>
  <r>
    <n v="2007"/>
    <n v="9"/>
    <x v="3"/>
    <x v="0"/>
    <n v="52308015"/>
    <n v="6665909"/>
    <n v="58973924"/>
    <n v="71087148"/>
    <n v="805066"/>
    <n v="64283"/>
    <n v="869349"/>
    <n v="45240419"/>
    <n v="18994703"/>
    <n v="64235122"/>
    <n v="59796275"/>
    <n v="23883235"/>
    <n v="83679510"/>
    <n v="75.66"/>
    <n v="79.53"/>
    <n v="76.760000000000005"/>
    <d v="2007-09-01T00:00:00"/>
    <s v="Fall"/>
  </r>
  <r>
    <n v="2007"/>
    <n v="10"/>
    <x v="3"/>
    <x v="0"/>
    <n v="57206249"/>
    <n v="6734727"/>
    <n v="63940976"/>
    <n v="58973924"/>
    <n v="841179"/>
    <n v="64536"/>
    <n v="905715"/>
    <n v="49069269"/>
    <n v="18762030"/>
    <n v="67831299"/>
    <n v="62497723"/>
    <n v="23713623"/>
    <n v="86211346"/>
    <n v="78.510000000000005"/>
    <n v="79.12"/>
    <n v="78.680000000000007"/>
    <d v="2007-10-01T00:00:00"/>
    <s v="Fall"/>
  </r>
  <r>
    <n v="2007"/>
    <n v="11"/>
    <x v="3"/>
    <x v="0"/>
    <n v="55044206"/>
    <n v="6616131"/>
    <n v="61660337"/>
    <n v="63940976"/>
    <n v="804635"/>
    <n v="64236"/>
    <n v="868871"/>
    <n v="47256388"/>
    <n v="17508412"/>
    <n v="64764800"/>
    <n v="60801594"/>
    <n v="22421800"/>
    <n v="83223395"/>
    <n v="77.72"/>
    <n v="78.09"/>
    <n v="77.819999999999993"/>
    <d v="2007-11-01T00:00:00"/>
    <s v="Fall"/>
  </r>
  <r>
    <n v="2007"/>
    <n v="12"/>
    <x v="3"/>
    <x v="0"/>
    <n v="53288538"/>
    <n v="7302494"/>
    <n v="60591032"/>
    <n v="61660337"/>
    <n v="803981"/>
    <n v="70325"/>
    <n v="874306"/>
    <n v="47070645"/>
    <n v="19121625"/>
    <n v="66192270"/>
    <n v="62270682"/>
    <n v="24391947"/>
    <n v="86662629"/>
    <n v="75.59"/>
    <n v="78.39"/>
    <n v="76.38"/>
    <d v="2007-12-01T00:00:00"/>
    <s v="Winter"/>
  </r>
  <r>
    <n v="2008"/>
    <n v="1"/>
    <x v="0"/>
    <x v="0"/>
    <n v="50245100"/>
    <n v="7214702"/>
    <n v="57459802"/>
    <n v="60591032"/>
    <n v="793275"/>
    <n v="70805"/>
    <n v="864080"/>
    <n v="44233383"/>
    <n v="18682398"/>
    <n v="62915780"/>
    <n v="60635551"/>
    <n v="24474296"/>
    <n v="85109847"/>
    <n v="72.95"/>
    <n v="76.33"/>
    <n v="73.92"/>
    <d v="2008-01-01T00:00:00"/>
    <s v="Winter"/>
  </r>
  <r>
    <n v="2008"/>
    <n v="2"/>
    <x v="0"/>
    <x v="0"/>
    <n v="50118363"/>
    <n v="6691283"/>
    <n v="56809646"/>
    <n v="57459802"/>
    <n v="746679"/>
    <n v="66402"/>
    <n v="813081"/>
    <n v="43429251"/>
    <n v="16602844"/>
    <n v="60032096"/>
    <n v="57170275"/>
    <n v="22832413"/>
    <n v="80002688"/>
    <n v="75.959999999999994"/>
    <n v="72.72"/>
    <n v="75.040000000000006"/>
    <d v="2008-02-01T00:00:00"/>
    <s v="Winter"/>
  </r>
  <r>
    <n v="2008"/>
    <n v="3"/>
    <x v="1"/>
    <x v="0"/>
    <n v="59213077"/>
    <n v="8257253"/>
    <n v="67470330"/>
    <n v="56809646"/>
    <n v="817511"/>
    <n v="74449"/>
    <n v="891960"/>
    <n v="52016986"/>
    <n v="20818061"/>
    <n v="72835047"/>
    <n v="63249344"/>
    <n v="25295113"/>
    <n v="88544457"/>
    <n v="82.24"/>
    <n v="82.3"/>
    <n v="82.26"/>
    <d v="2008-03-01T00:00:00"/>
    <s v="Spring"/>
  </r>
  <r>
    <n v="2008"/>
    <n v="4"/>
    <x v="1"/>
    <x v="0"/>
    <n v="55611053"/>
    <n v="7361463"/>
    <n v="62972516"/>
    <n v="67470330"/>
    <n v="799664"/>
    <n v="70840"/>
    <n v="870504"/>
    <n v="48189445"/>
    <n v="19238317"/>
    <n v="67427762"/>
    <n v="60127860"/>
    <n v="24913253"/>
    <n v="85041112"/>
    <n v="80.14"/>
    <n v="77.22"/>
    <n v="79.290000000000006"/>
    <d v="2008-04-01T00:00:00"/>
    <s v="Spring"/>
  </r>
  <r>
    <n v="2008"/>
    <n v="5"/>
    <x v="1"/>
    <x v="0"/>
    <n v="58047400"/>
    <n v="7747506"/>
    <n v="65794906"/>
    <n v="62972516"/>
    <n v="820114"/>
    <n v="71787"/>
    <n v="891901"/>
    <n v="50259912"/>
    <n v="20972031"/>
    <n v="71231943"/>
    <n v="61778284"/>
    <n v="26236332"/>
    <n v="88014616"/>
    <n v="81.36"/>
    <n v="79.94"/>
    <n v="80.930000000000007"/>
    <d v="2008-05-01T00:00:00"/>
    <s v="Spring"/>
  </r>
  <r>
    <n v="2008"/>
    <n v="6"/>
    <x v="2"/>
    <x v="0"/>
    <n v="59559171"/>
    <n v="8168145"/>
    <n v="67727316"/>
    <n v="65794906"/>
    <n v="815914"/>
    <n v="72783"/>
    <n v="888697"/>
    <n v="52521309"/>
    <n v="22207049"/>
    <n v="74728358"/>
    <n v="62328392"/>
    <n v="26758910"/>
    <n v="89087301"/>
    <n v="84.27"/>
    <n v="82.99"/>
    <n v="83.88"/>
    <d v="2008-06-01T00:00:00"/>
    <s v="Summer"/>
  </r>
  <r>
    <n v="2008"/>
    <n v="7"/>
    <x v="2"/>
    <x v="0"/>
    <n v="61401480"/>
    <n v="8831861"/>
    <n v="70233341"/>
    <n v="67727316"/>
    <n v="844737"/>
    <n v="77244"/>
    <n v="921981"/>
    <n v="54621353"/>
    <n v="23555952"/>
    <n v="78177305"/>
    <n v="64884624"/>
    <n v="28113326"/>
    <n v="92997950"/>
    <n v="84.18"/>
    <n v="83.79"/>
    <n v="84.06"/>
    <d v="2008-07-01T00:00:00"/>
    <s v="Summer"/>
  </r>
  <r>
    <n v="2008"/>
    <n v="8"/>
    <x v="2"/>
    <x v="0"/>
    <n v="58966473"/>
    <n v="8629543"/>
    <n v="67596016"/>
    <n v="70233341"/>
    <n v="823517"/>
    <n v="75242"/>
    <n v="898759"/>
    <n v="52643145"/>
    <n v="23162473"/>
    <n v="75805618"/>
    <n v="63117937"/>
    <n v="27931634"/>
    <n v="91049571"/>
    <n v="83.4"/>
    <n v="82.93"/>
    <n v="83.26"/>
    <d v="2008-08-01T00:00:00"/>
    <s v="Summer"/>
  </r>
  <r>
    <n v="2008"/>
    <n v="9"/>
    <x v="3"/>
    <x v="0"/>
    <n v="47680001"/>
    <n v="6327854"/>
    <n v="54007855"/>
    <n v="67596016"/>
    <n v="728377"/>
    <n v="59708"/>
    <n v="788085"/>
    <n v="41015589"/>
    <n v="18737440"/>
    <n v="59753028"/>
    <n v="53906431"/>
    <n v="24055799"/>
    <n v="77962230"/>
    <n v="76.09"/>
    <n v="77.89"/>
    <n v="76.64"/>
    <d v="2008-09-01T00:00:00"/>
    <s v="Fall"/>
  </r>
  <r>
    <n v="2008"/>
    <n v="10"/>
    <x v="3"/>
    <x v="0"/>
    <n v="52956023"/>
    <n v="6473043"/>
    <n v="59429066"/>
    <n v="54007855"/>
    <n v="758538"/>
    <n v="60997"/>
    <n v="819535"/>
    <n v="44913078"/>
    <n v="18507570"/>
    <n v="63420648"/>
    <n v="56299337"/>
    <n v="23804966"/>
    <n v="80104304"/>
    <n v="79.78"/>
    <n v="77.75"/>
    <n v="79.17"/>
    <d v="2008-10-01T00:00:00"/>
    <s v="Fall"/>
  </r>
  <r>
    <n v="2008"/>
    <n v="11"/>
    <x v="3"/>
    <x v="0"/>
    <n v="47658141"/>
    <n v="6167102"/>
    <n v="53825243"/>
    <n v="59429066"/>
    <n v="707246"/>
    <n v="60687"/>
    <n v="767933"/>
    <n v="40578576"/>
    <n v="16552513"/>
    <n v="57131088"/>
    <n v="53450483"/>
    <n v="22297823"/>
    <n v="75748306"/>
    <n v="75.92"/>
    <n v="74.23"/>
    <n v="75.42"/>
    <d v="2008-11-01T00:00:00"/>
    <s v="Fall"/>
  </r>
  <r>
    <n v="2008"/>
    <n v="12"/>
    <x v="3"/>
    <x v="0"/>
    <n v="50253658"/>
    <n v="6881238"/>
    <n v="57134896"/>
    <n v="53825243"/>
    <n v="720062"/>
    <n v="65422"/>
    <n v="785484"/>
    <n v="43824845"/>
    <n v="18277979"/>
    <n v="62102823"/>
    <n v="55361168"/>
    <n v="23773025"/>
    <n v="79134193"/>
    <n v="79.16"/>
    <n v="76.89"/>
    <n v="78.48"/>
    <d v="2008-12-01T00:00:00"/>
    <s v="Winter"/>
  </r>
  <r>
    <n v="2009"/>
    <n v="1"/>
    <x v="0"/>
    <x v="0"/>
    <n v="44821711"/>
    <n v="6737730"/>
    <n v="51559441"/>
    <n v="57134896"/>
    <n v="709933"/>
    <n v="66971"/>
    <n v="776904"/>
    <n v="39299677"/>
    <n v="17528664"/>
    <n v="56828341"/>
    <n v="53952827"/>
    <n v="23989981"/>
    <n v="77942808"/>
    <n v="72.84"/>
    <n v="73.069999999999993"/>
    <n v="72.91"/>
    <d v="2009-01-01T00:00:00"/>
    <s v="Winter"/>
  </r>
  <r>
    <n v="2009"/>
    <n v="2"/>
    <x v="0"/>
    <x v="0"/>
    <n v="43677233"/>
    <n v="5970396"/>
    <n v="49647629"/>
    <n v="51559441"/>
    <n v="659899"/>
    <n v="61219"/>
    <n v="721118"/>
    <n v="37640543"/>
    <n v="14607464"/>
    <n v="52248007"/>
    <n v="49969299"/>
    <n v="21295607"/>
    <n v="71264906"/>
    <n v="75.33"/>
    <n v="68.59"/>
    <n v="73.319999999999993"/>
    <d v="2009-02-01T00:00:00"/>
    <s v="Winter"/>
  </r>
  <r>
    <n v="2009"/>
    <n v="3"/>
    <x v="1"/>
    <x v="0"/>
    <n v="53531487"/>
    <n v="7227487"/>
    <n v="60758974"/>
    <n v="49647629"/>
    <n v="747363"/>
    <n v="69764"/>
    <n v="817127"/>
    <n v="46517762"/>
    <n v="18128641"/>
    <n v="64646403"/>
    <n v="57331259"/>
    <n v="24114710"/>
    <n v="81445969"/>
    <n v="81.14"/>
    <n v="75.180000000000007"/>
    <n v="79.37"/>
    <d v="2009-03-01T00:00:00"/>
    <s v="Spring"/>
  </r>
  <r>
    <n v="2009"/>
    <n v="4"/>
    <x v="1"/>
    <x v="0"/>
    <n v="52245401"/>
    <n v="7086357"/>
    <n v="59331758"/>
    <n v="60758974"/>
    <n v="728856"/>
    <n v="67069"/>
    <n v="795925"/>
    <n v="45419272"/>
    <n v="18450057"/>
    <n v="63869329"/>
    <n v="55279977"/>
    <n v="23917823"/>
    <n v="79197800"/>
    <n v="82.16"/>
    <n v="77.14"/>
    <n v="80.650000000000006"/>
    <d v="2009-04-01T00:00:00"/>
    <s v="Spring"/>
  </r>
  <r>
    <n v="2009"/>
    <n v="5"/>
    <x v="1"/>
    <x v="0"/>
    <n v="52948582"/>
    <n v="6597012"/>
    <n v="59545594"/>
    <n v="59331758"/>
    <n v="748984"/>
    <n v="63841"/>
    <n v="812825"/>
    <n v="45980480"/>
    <n v="18545191"/>
    <n v="64525671"/>
    <n v="56504772"/>
    <n v="24407091"/>
    <n v="80911862"/>
    <n v="81.37"/>
    <n v="75.98"/>
    <n v="79.75"/>
    <d v="2009-05-01T00:00:00"/>
    <s v="Spring"/>
  </r>
  <r>
    <n v="2009"/>
    <n v="6"/>
    <x v="2"/>
    <x v="0"/>
    <n v="55898027"/>
    <n v="7460171"/>
    <n v="63358198"/>
    <n v="59545594"/>
    <n v="760136"/>
    <n v="66341"/>
    <n v="826477"/>
    <n v="49290277"/>
    <n v="20784769"/>
    <n v="70075046"/>
    <n v="57716483"/>
    <n v="25414368"/>
    <n v="83130851"/>
    <n v="85.4"/>
    <n v="81.78"/>
    <n v="84.29"/>
    <d v="2009-06-01T00:00:00"/>
    <s v="Summer"/>
  </r>
  <r>
    <n v="2009"/>
    <n v="7"/>
    <x v="2"/>
    <x v="0"/>
    <n v="59468957"/>
    <n v="8399115"/>
    <n v="67868072"/>
    <n v="63358198"/>
    <n v="793994"/>
    <n v="71164"/>
    <n v="865158"/>
    <n v="52704797"/>
    <n v="22969194"/>
    <n v="75673991"/>
    <n v="60499991"/>
    <n v="27022263"/>
    <n v="87522254"/>
    <n v="87.12"/>
    <n v="85"/>
    <n v="86.46"/>
    <d v="2009-07-01T00:00:00"/>
    <s v="Summer"/>
  </r>
  <r>
    <n v="2009"/>
    <n v="8"/>
    <x v="2"/>
    <x v="0"/>
    <n v="56568180"/>
    <n v="8217868"/>
    <n v="64786048"/>
    <n v="67868072"/>
    <n v="781315"/>
    <n v="70022"/>
    <n v="851337"/>
    <n v="50467288"/>
    <n v="22619720"/>
    <n v="73087008"/>
    <n v="59356980"/>
    <n v="26667531"/>
    <n v="86024512"/>
    <n v="85.02"/>
    <n v="84.82"/>
    <n v="84.96"/>
    <d v="2009-08-01T00:00:00"/>
    <s v="Summer"/>
  </r>
  <r>
    <n v="2009"/>
    <n v="9"/>
    <x v="3"/>
    <x v="0"/>
    <n v="48235025"/>
    <n v="6219954"/>
    <n v="54454979"/>
    <n v="64786048"/>
    <n v="709793"/>
    <n v="57696"/>
    <n v="767489"/>
    <n v="41656736"/>
    <n v="18400287"/>
    <n v="60057023"/>
    <n v="52447273"/>
    <n v="22830033"/>
    <n v="75277306"/>
    <n v="79.430000000000007"/>
    <n v="80.599999999999994"/>
    <n v="79.78"/>
    <d v="2009-09-01T00:00:00"/>
    <s v="Fall"/>
  </r>
  <r>
    <n v="2009"/>
    <n v="10"/>
    <x v="3"/>
    <x v="0"/>
    <n v="52279405"/>
    <n v="6295084"/>
    <n v="58574489"/>
    <n v="54454979"/>
    <n v="726573"/>
    <n v="58273"/>
    <n v="784846"/>
    <n v="44781574"/>
    <n v="18053025"/>
    <n v="62834599"/>
    <n v="54453800"/>
    <n v="22015791"/>
    <n v="76469591"/>
    <n v="82.24"/>
    <n v="82"/>
    <n v="82.17"/>
    <d v="2009-10-01T00:00:00"/>
    <s v="Fall"/>
  </r>
  <r>
    <n v="2009"/>
    <n v="11"/>
    <x v="3"/>
    <x v="0"/>
    <n v="48584832"/>
    <n v="6008261"/>
    <n v="54593093"/>
    <n v="58574489"/>
    <n v="694749"/>
    <n v="58724"/>
    <n v="753473"/>
    <n v="41573015"/>
    <n v="16087062"/>
    <n v="57660077"/>
    <n v="52483155"/>
    <n v="20614479"/>
    <n v="73097634"/>
    <n v="79.209999999999994"/>
    <n v="78.040000000000006"/>
    <n v="78.88"/>
    <d v="2009-11-01T00:00:00"/>
    <s v="Fall"/>
  </r>
  <r>
    <n v="2009"/>
    <n v="12"/>
    <x v="3"/>
    <x v="0"/>
    <n v="49793438"/>
    <n v="6892742"/>
    <n v="56686180"/>
    <n v="54593093"/>
    <n v="704840"/>
    <n v="64801"/>
    <n v="769641"/>
    <n v="43650676"/>
    <n v="18175003"/>
    <n v="61825679"/>
    <n v="54631259"/>
    <n v="22325659"/>
    <n v="76956918"/>
    <n v="79.900000000000006"/>
    <n v="81.41"/>
    <n v="80.34"/>
    <d v="2009-12-01T00:00:00"/>
    <s v="Winter"/>
  </r>
  <r>
    <n v="2010"/>
    <n v="1"/>
    <x v="0"/>
    <x v="0"/>
    <n v="45501620"/>
    <n v="6816044"/>
    <n v="52317664"/>
    <n v="56686180"/>
    <n v="694852"/>
    <n v="66583"/>
    <n v="761435"/>
    <n v="40301481"/>
    <n v="17841075"/>
    <n v="58142556"/>
    <n v="53795975"/>
    <n v="23088105"/>
    <n v="76884080"/>
    <n v="74.92"/>
    <n v="77.27"/>
    <n v="75.62"/>
    <d v="2010-01-01T00:00:00"/>
    <s v="Winter"/>
  </r>
  <r>
    <n v="2010"/>
    <n v="2"/>
    <x v="0"/>
    <x v="0"/>
    <n v="42440614"/>
    <n v="6014415"/>
    <n v="48455029"/>
    <n v="52317664"/>
    <n v="622999"/>
    <n v="59833"/>
    <n v="682832"/>
    <n v="36997641"/>
    <n v="14973899"/>
    <n v="51971540"/>
    <n v="47817552"/>
    <n v="20153781"/>
    <n v="67971333"/>
    <n v="77.37"/>
    <n v="74.3"/>
    <n v="76.459999999999994"/>
    <d v="2010-02-01T00:00:00"/>
    <s v="Winter"/>
  </r>
  <r>
    <n v="2010"/>
    <n v="3"/>
    <x v="1"/>
    <x v="0"/>
    <n v="54424077"/>
    <n v="7531317"/>
    <n v="61955394"/>
    <n v="48455029"/>
    <n v="739894"/>
    <n v="69737"/>
    <n v="809631"/>
    <n v="47619591"/>
    <n v="19146484"/>
    <n v="66766075"/>
    <n v="57080653"/>
    <n v="23685717"/>
    <n v="80766370"/>
    <n v="83.43"/>
    <n v="80.84"/>
    <n v="82.67"/>
    <d v="2010-03-01T00:00:00"/>
    <s v="Spring"/>
  </r>
  <r>
    <n v="2010"/>
    <n v="4"/>
    <x v="1"/>
    <x v="0"/>
    <n v="52498074"/>
    <n v="6941422"/>
    <n v="59439496"/>
    <n v="61955394"/>
    <n v="722566"/>
    <n v="66054"/>
    <n v="788620"/>
    <n v="45662025"/>
    <n v="17935164"/>
    <n v="63597189"/>
    <n v="55280651"/>
    <n v="22592040"/>
    <n v="77872690"/>
    <n v="82.6"/>
    <n v="79.39"/>
    <n v="81.67"/>
    <d v="2010-04-01T00:00:00"/>
    <s v="Spring"/>
  </r>
  <r>
    <n v="2010"/>
    <n v="5"/>
    <x v="1"/>
    <x v="0"/>
    <n v="53842422"/>
    <n v="7402599"/>
    <n v="61245021"/>
    <n v="59439496"/>
    <n v="741574"/>
    <n v="68031"/>
    <n v="809605"/>
    <n v="46953589"/>
    <n v="20542809"/>
    <n v="67496398"/>
    <n v="56898062"/>
    <n v="25079577"/>
    <n v="81977639"/>
    <n v="82.52"/>
    <n v="81.91"/>
    <n v="82.34"/>
    <d v="2010-05-01T00:00:00"/>
    <s v="Spring"/>
  </r>
  <r>
    <n v="2010"/>
    <n v="6"/>
    <x v="2"/>
    <x v="0"/>
    <n v="56689853"/>
    <n v="8100494"/>
    <n v="64790347"/>
    <n v="61245021"/>
    <n v="751326"/>
    <n v="70427"/>
    <n v="821753"/>
    <n v="50387611"/>
    <n v="22717510"/>
    <n v="73105121"/>
    <n v="58353230"/>
    <n v="26433891"/>
    <n v="84787121"/>
    <n v="86.35"/>
    <n v="85.94"/>
    <n v="86.22"/>
    <d v="2010-06-01T00:00:00"/>
    <s v="Summer"/>
  </r>
  <r>
    <n v="2010"/>
    <n v="7"/>
    <x v="2"/>
    <x v="0"/>
    <n v="59142493"/>
    <n v="9052302"/>
    <n v="68194795"/>
    <n v="64790347"/>
    <n v="782439"/>
    <n v="76123"/>
    <n v="858562"/>
    <n v="53095873"/>
    <n v="24587686"/>
    <n v="77683559"/>
    <n v="61069806"/>
    <n v="28347052"/>
    <n v="89416858"/>
    <n v="86.94"/>
    <n v="86.74"/>
    <n v="86.88"/>
    <d v="2010-07-01T00:00:00"/>
    <s v="Summer"/>
  </r>
  <r>
    <n v="2010"/>
    <n v="8"/>
    <x v="2"/>
    <x v="0"/>
    <n v="57370748"/>
    <n v="8646519"/>
    <n v="66017267"/>
    <n v="68194795"/>
    <n v="781423"/>
    <n v="72823"/>
    <n v="854246"/>
    <n v="51439492"/>
    <n v="23775852"/>
    <n v="75215344"/>
    <n v="60357973"/>
    <n v="27771651"/>
    <n v="88129624"/>
    <n v="85.22"/>
    <n v="85.61"/>
    <n v="85.35"/>
    <d v="2010-08-01T00:00:00"/>
    <s v="Summer"/>
  </r>
  <r>
    <n v="2010"/>
    <n v="9"/>
    <x v="3"/>
    <x v="0"/>
    <n v="50304708"/>
    <n v="6847457"/>
    <n v="57152165"/>
    <n v="66017267"/>
    <n v="718643"/>
    <n v="60368"/>
    <n v="779011"/>
    <n v="43694603"/>
    <n v="20411172"/>
    <n v="64105775"/>
    <n v="54729805"/>
    <n v="24382358"/>
    <n v="79112164"/>
    <n v="79.84"/>
    <n v="83.71"/>
    <n v="81.03"/>
    <d v="2010-09-01T00:00:00"/>
    <s v="Fall"/>
  </r>
  <r>
    <n v="2010"/>
    <n v="10"/>
    <x v="3"/>
    <x v="0"/>
    <n v="54826050"/>
    <n v="7072483"/>
    <n v="61898533"/>
    <n v="57152165"/>
    <n v="737224"/>
    <n v="62454"/>
    <n v="799678"/>
    <n v="47283497"/>
    <n v="20434096"/>
    <n v="67717592"/>
    <n v="56731943"/>
    <n v="24764165"/>
    <n v="81496108"/>
    <n v="83.35"/>
    <n v="82.51"/>
    <n v="83.09"/>
    <d v="2010-10-01T00:00:00"/>
    <s v="Fall"/>
  </r>
  <r>
    <n v="2010"/>
    <n v="11"/>
    <x v="3"/>
    <x v="0"/>
    <n v="51420350"/>
    <n v="6510189"/>
    <n v="57930539"/>
    <n v="61898533"/>
    <n v="704372"/>
    <n v="60704"/>
    <n v="765076"/>
    <n v="44351331"/>
    <n v="17630685"/>
    <n v="61982017"/>
    <n v="54609482"/>
    <n v="22486741"/>
    <n v="77096223"/>
    <n v="81.22"/>
    <n v="78.400000000000006"/>
    <n v="80.400000000000006"/>
    <d v="2010-11-01T00:00:00"/>
    <s v="Fall"/>
  </r>
  <r>
    <n v="2010"/>
    <n v="12"/>
    <x v="3"/>
    <x v="0"/>
    <n v="51076415"/>
    <n v="7271391"/>
    <n v="58347806"/>
    <n v="57930539"/>
    <n v="702581"/>
    <n v="66014"/>
    <n v="768595"/>
    <n v="45067192"/>
    <n v="19358086"/>
    <n v="64425278"/>
    <n v="55745538"/>
    <n v="24054993"/>
    <n v="79800532"/>
    <n v="80.84"/>
    <n v="80.47"/>
    <n v="80.73"/>
    <d v="2010-12-01T00:00:00"/>
    <s v="Winter"/>
  </r>
  <r>
    <n v="2011"/>
    <n v="1"/>
    <x v="0"/>
    <x v="0"/>
    <n v="46304921"/>
    <n v="7155472"/>
    <n v="53460393"/>
    <n v="58347806"/>
    <n v="681152"/>
    <n v="68426"/>
    <n v="749578"/>
    <n v="41187426"/>
    <n v="19013720"/>
    <n v="60201146"/>
    <n v="53804562"/>
    <n v="24876445"/>
    <n v="78681007"/>
    <n v="76.55"/>
    <n v="76.430000000000007"/>
    <n v="76.510000000000005"/>
    <d v="2011-01-01T00:00:00"/>
    <s v="Winter"/>
  </r>
  <r>
    <n v="2011"/>
    <n v="2"/>
    <x v="0"/>
    <x v="0"/>
    <n v="43657818"/>
    <n v="6205658"/>
    <n v="49863476"/>
    <n v="53460393"/>
    <n v="625530"/>
    <n v="61615"/>
    <n v="687145"/>
    <n v="38285134"/>
    <n v="15742124"/>
    <n v="54027258"/>
    <n v="49106329"/>
    <n v="22192337"/>
    <n v="71298667"/>
    <n v="77.959999999999994"/>
    <n v="70.930000000000007"/>
    <n v="75.78"/>
    <d v="2011-02-01T00:00:00"/>
    <s v="Winter"/>
  </r>
  <r>
    <n v="2011"/>
    <n v="3"/>
    <x v="1"/>
    <x v="0"/>
    <n v="55649428"/>
    <n v="7733473"/>
    <n v="63382901"/>
    <n v="49863476"/>
    <n v="754669"/>
    <n v="71925"/>
    <n v="826594"/>
    <n v="48992221"/>
    <n v="19689006"/>
    <n v="68681228"/>
    <n v="59209942"/>
    <n v="25743795"/>
    <n v="84953737"/>
    <n v="82.74"/>
    <n v="76.48"/>
    <n v="80.849999999999994"/>
    <d v="2011-03-01T00:00:00"/>
    <s v="Spring"/>
  </r>
  <r>
    <n v="2011"/>
    <n v="4"/>
    <x v="1"/>
    <x v="0"/>
    <n v="52858479"/>
    <n v="7495073"/>
    <n v="60353552"/>
    <n v="63382901"/>
    <n v="720073"/>
    <n v="68663"/>
    <n v="788736"/>
    <n v="46567364"/>
    <n v="19768711"/>
    <n v="66336076"/>
    <n v="56686501"/>
    <n v="25411596"/>
    <n v="82098097"/>
    <n v="82.15"/>
    <n v="77.790000000000006"/>
    <n v="80.8"/>
    <d v="2011-04-01T00:00:00"/>
    <s v="Spring"/>
  </r>
  <r>
    <n v="2011"/>
    <n v="5"/>
    <x v="1"/>
    <x v="0"/>
    <n v="55982234"/>
    <n v="7671950"/>
    <n v="63654184"/>
    <n v="60353552"/>
    <n v="743778"/>
    <n v="67680"/>
    <n v="811458"/>
    <n v="49026667"/>
    <n v="21312827"/>
    <n v="70339494"/>
    <n v="57969795"/>
    <n v="26131180"/>
    <n v="84100975"/>
    <n v="84.57"/>
    <n v="81.56"/>
    <n v="83.64"/>
    <d v="2011-05-01T00:00:00"/>
    <s v="Spring"/>
  </r>
  <r>
    <n v="2011"/>
    <n v="6"/>
    <x v="2"/>
    <x v="0"/>
    <n v="57778699"/>
    <n v="8256632"/>
    <n v="66035331"/>
    <n v="63654184"/>
    <n v="756675"/>
    <n v="69903"/>
    <n v="826578"/>
    <n v="51552204"/>
    <n v="23096822"/>
    <n v="74649026"/>
    <n v="59955599"/>
    <n v="27224840"/>
    <n v="87180439"/>
    <n v="85.98"/>
    <n v="84.84"/>
    <n v="85.63"/>
    <d v="2011-06-01T00:00:00"/>
    <s v="Summer"/>
  </r>
  <r>
    <n v="2011"/>
    <n v="7"/>
    <x v="2"/>
    <x v="0"/>
    <n v="60310295"/>
    <n v="9384241"/>
    <n v="69694536"/>
    <n v="66035331"/>
    <n v="783811"/>
    <n v="76305"/>
    <n v="860116"/>
    <n v="54459007"/>
    <n v="25415397"/>
    <n v="79874404"/>
    <n v="62492240"/>
    <n v="29384342"/>
    <n v="91876583"/>
    <n v="87.15"/>
    <n v="86.49"/>
    <n v="86.94"/>
    <d v="2011-07-01T00:00:00"/>
    <s v="Summer"/>
  </r>
  <r>
    <n v="2011"/>
    <n v="8"/>
    <x v="2"/>
    <x v="0"/>
    <n v="57403835"/>
    <n v="8677482"/>
    <n v="66081317"/>
    <n v="69694536"/>
    <n v="767948"/>
    <n v="71574"/>
    <n v="839522"/>
    <n v="51570688"/>
    <n v="24132052"/>
    <n v="75702739"/>
    <n v="60248852"/>
    <n v="28178615"/>
    <n v="88427467"/>
    <n v="85.6"/>
    <n v="85.64"/>
    <n v="85.61"/>
    <d v="2011-08-01T00:00:00"/>
    <s v="Summer"/>
  </r>
  <r>
    <n v="2011"/>
    <n v="9"/>
    <x v="3"/>
    <x v="0"/>
    <n v="50982170"/>
    <n v="6893283"/>
    <n v="57875453"/>
    <n v="66081317"/>
    <n v="706395"/>
    <n v="61645"/>
    <n v="768040"/>
    <n v="44580290"/>
    <n v="20488322"/>
    <n v="65068612"/>
    <n v="54480405"/>
    <n v="24945913"/>
    <n v="79426318"/>
    <n v="81.83"/>
    <n v="82.13"/>
    <n v="81.92"/>
    <d v="2011-09-01T00:00:00"/>
    <s v="Fall"/>
  </r>
  <r>
    <n v="2011"/>
    <n v="10"/>
    <x v="3"/>
    <x v="0"/>
    <n v="54124363"/>
    <n v="6884408"/>
    <n v="61008771"/>
    <n v="57875453"/>
    <n v="723222"/>
    <n v="62821"/>
    <n v="786043"/>
    <n v="46972407"/>
    <n v="19893658"/>
    <n v="66866065"/>
    <n v="56160266"/>
    <n v="24800208"/>
    <n v="80960473"/>
    <n v="83.64"/>
    <n v="80.22"/>
    <n v="82.59"/>
    <d v="2011-10-01T00:00:00"/>
    <s v="Fall"/>
  </r>
  <r>
    <n v="2011"/>
    <n v="11"/>
    <x v="3"/>
    <x v="0"/>
    <n v="51660083"/>
    <n v="6431880"/>
    <n v="58091963"/>
    <n v="61008771"/>
    <n v="682660"/>
    <n v="60778"/>
    <n v="743438"/>
    <n v="44780150"/>
    <n v="17325552"/>
    <n v="62105702"/>
    <n v="53639815"/>
    <n v="22099606"/>
    <n v="75739421"/>
    <n v="83.48"/>
    <n v="78.400000000000006"/>
    <n v="82"/>
    <d v="2011-11-01T00:00:00"/>
    <s v="Fall"/>
  </r>
  <r>
    <n v="2011"/>
    <n v="12"/>
    <x v="3"/>
    <x v="0"/>
    <n v="51534907"/>
    <n v="7331513"/>
    <n v="58866420"/>
    <n v="58091963"/>
    <n v="701348"/>
    <n v="67821"/>
    <n v="769169"/>
    <n v="45673434"/>
    <n v="19339617"/>
    <n v="65013051"/>
    <n v="56330875"/>
    <n v="24186935"/>
    <n v="80517810"/>
    <n v="81.08"/>
    <n v="79.959999999999994"/>
    <n v="80.739999999999995"/>
    <d v="2011-12-01T00:00:00"/>
    <s v="Winter"/>
  </r>
  <r>
    <n v="2012"/>
    <n v="1"/>
    <x v="0"/>
    <x v="0"/>
    <n v="47080430"/>
    <n v="7155733"/>
    <n v="54236163"/>
    <n v="58866420"/>
    <n v="677704"/>
    <n v="68013"/>
    <n v="745717"/>
    <n v="41673200"/>
    <n v="18915701"/>
    <n v="60588901"/>
    <n v="53426991"/>
    <n v="24645715"/>
    <n v="78072706"/>
    <n v="78"/>
    <n v="76.75"/>
    <n v="77.61"/>
    <d v="2012-01-01T00:00:00"/>
    <s v="Winter"/>
  </r>
  <r>
    <n v="2012"/>
    <n v="2"/>
    <x v="0"/>
    <x v="0"/>
    <n v="46405102"/>
    <n v="6518477"/>
    <n v="52923579"/>
    <n v="54236163"/>
    <n v="647027"/>
    <n v="64878"/>
    <n v="711905"/>
    <n v="40440608"/>
    <n v="16583021"/>
    <n v="57023629"/>
    <n v="51244942"/>
    <n v="23176387"/>
    <n v="74421328"/>
    <n v="78.92"/>
    <n v="71.55"/>
    <n v="76.62"/>
    <d v="2012-02-01T00:00:00"/>
    <s v="Winter"/>
  </r>
  <r>
    <n v="2012"/>
    <n v="3"/>
    <x v="1"/>
    <x v="0"/>
    <n v="56200104"/>
    <n v="8059960"/>
    <n v="64260064"/>
    <n v="52923579"/>
    <n v="728636"/>
    <n v="73363"/>
    <n v="801999"/>
    <n v="49693743"/>
    <n v="20638910"/>
    <n v="70332653"/>
    <n v="58846026"/>
    <n v="25826784"/>
    <n v="84672810"/>
    <n v="84.45"/>
    <n v="79.91"/>
    <n v="83.06"/>
    <d v="2012-03-01T00:00:00"/>
    <s v="Spring"/>
  </r>
  <r>
    <n v="2012"/>
    <n v="4"/>
    <x v="1"/>
    <x v="0"/>
    <n v="53691455"/>
    <n v="7608446"/>
    <n v="61299901"/>
    <n v="64260064"/>
    <n v="706994"/>
    <n v="68925"/>
    <n v="775919"/>
    <n v="47240808"/>
    <n v="20120006"/>
    <n v="67360814"/>
    <n v="56495318"/>
    <n v="25056043"/>
    <n v="81551361"/>
    <n v="83.62"/>
    <n v="80.3"/>
    <n v="82.6"/>
    <d v="2012-04-01T00:00:00"/>
    <s v="Spring"/>
  </r>
  <r>
    <n v="2012"/>
    <n v="5"/>
    <x v="1"/>
    <x v="0"/>
    <n v="55749349"/>
    <n v="7728905"/>
    <n v="63478254"/>
    <n v="61299901"/>
    <n v="725712"/>
    <n v="69813"/>
    <n v="795525"/>
    <n v="49075103"/>
    <n v="21625365"/>
    <n v="70700468"/>
    <n v="58102674"/>
    <n v="26487067"/>
    <n v="84589741"/>
    <n v="84.46"/>
    <n v="81.64"/>
    <n v="83.58"/>
    <d v="2012-05-01T00:00:00"/>
    <s v="Spring"/>
  </r>
  <r>
    <n v="2012"/>
    <n v="6"/>
    <x v="2"/>
    <x v="0"/>
    <n v="57903293"/>
    <n v="8509172"/>
    <n v="66412465"/>
    <n v="63478254"/>
    <n v="735084"/>
    <n v="72160"/>
    <n v="807244"/>
    <n v="51958863"/>
    <n v="23588863"/>
    <n v="75547726"/>
    <n v="59980845"/>
    <n v="27267695"/>
    <n v="87248539"/>
    <n v="86.63"/>
    <n v="86.51"/>
    <n v="86.59"/>
    <d v="2012-06-01T00:00:00"/>
    <s v="Summer"/>
  </r>
  <r>
    <n v="2012"/>
    <n v="7"/>
    <x v="2"/>
    <x v="0"/>
    <n v="59688267"/>
    <n v="9298946"/>
    <n v="68987213"/>
    <n v="66412465"/>
    <n v="757484"/>
    <n v="76163"/>
    <n v="833647"/>
    <n v="54239648"/>
    <n v="24933954"/>
    <n v="79173602"/>
    <n v="62452527"/>
    <n v="28885438"/>
    <n v="91337965"/>
    <n v="86.85"/>
    <n v="86.32"/>
    <n v="86.68"/>
    <d v="2012-07-01T00:00:00"/>
    <s v="Summer"/>
  </r>
  <r>
    <n v="2012"/>
    <n v="8"/>
    <x v="2"/>
    <x v="0"/>
    <n v="58646304"/>
    <n v="8892354"/>
    <n v="67538658"/>
    <n v="68987213"/>
    <n v="753441"/>
    <n v="74196"/>
    <n v="827637"/>
    <n v="52870434"/>
    <n v="24375248"/>
    <n v="77245683"/>
    <n v="61026426"/>
    <n v="28226626"/>
    <n v="89253052"/>
    <n v="86.64"/>
    <n v="86.36"/>
    <n v="86.55"/>
    <d v="2012-08-01T00:00:00"/>
    <s v="Summer"/>
  </r>
  <r>
    <n v="2012"/>
    <n v="9"/>
    <x v="3"/>
    <x v="0"/>
    <n v="50134504"/>
    <n v="7098414"/>
    <n v="57232918"/>
    <n v="67538658"/>
    <n v="677990"/>
    <n v="62528"/>
    <n v="740518"/>
    <n v="43861215"/>
    <n v="20931047"/>
    <n v="64792261"/>
    <n v="54386931"/>
    <n v="24996737"/>
    <n v="79383668"/>
    <n v="80.650000000000006"/>
    <n v="83.74"/>
    <n v="81.62"/>
    <d v="2012-09-01T00:00:00"/>
    <s v="Fall"/>
  </r>
  <r>
    <n v="2012"/>
    <n v="10"/>
    <x v="3"/>
    <x v="0"/>
    <n v="53779646"/>
    <n v="6952685"/>
    <n v="60732331"/>
    <n v="57232918"/>
    <n v="694712"/>
    <n v="62790"/>
    <n v="757502"/>
    <n v="46661129"/>
    <n v="19851567"/>
    <n v="66512697"/>
    <n v="55378572"/>
    <n v="24322370"/>
    <n v="79700942"/>
    <n v="84.26"/>
    <n v="81.62"/>
    <n v="83.45"/>
    <d v="2012-10-01T00:00:00"/>
    <s v="Fall"/>
  </r>
  <r>
    <n v="2012"/>
    <n v="11"/>
    <x v="3"/>
    <x v="0"/>
    <n v="51844482"/>
    <n v="6710058"/>
    <n v="58554540"/>
    <n v="60732331"/>
    <n v="669260"/>
    <n v="61817"/>
    <n v="731077"/>
    <n v="45148868"/>
    <n v="17774579"/>
    <n v="62923447"/>
    <n v="54524126"/>
    <n v="22326176"/>
    <n v="76850301"/>
    <n v="82.81"/>
    <n v="79.61"/>
    <n v="81.88"/>
    <d v="2012-11-01T00:00:00"/>
    <s v="Fall"/>
  </r>
  <r>
    <n v="2012"/>
    <n v="12"/>
    <x v="3"/>
    <x v="0"/>
    <n v="51165451"/>
    <n v="7500932"/>
    <n v="58666383"/>
    <n v="58554540"/>
    <n v="670793"/>
    <n v="67858"/>
    <n v="738651"/>
    <n v="45818778"/>
    <n v="19607025"/>
    <n v="65425803"/>
    <n v="56181473"/>
    <n v="24156714"/>
    <n v="80338186"/>
    <n v="81.55"/>
    <n v="81.17"/>
    <n v="81.44"/>
    <d v="2012-12-01T00:00:00"/>
    <s v="Winter"/>
  </r>
  <r>
    <n v="2013"/>
    <n v="1"/>
    <x v="0"/>
    <x v="0"/>
    <n v="47816859"/>
    <n v="7331420"/>
    <n v="55148279"/>
    <n v="58666383"/>
    <n v="662014"/>
    <n v="68653"/>
    <n v="730667"/>
    <n v="42716886"/>
    <n v="19226952"/>
    <n v="61943838"/>
    <n v="54130019"/>
    <n v="24414793"/>
    <n v="78544812"/>
    <n v="78.92"/>
    <n v="78.75"/>
    <n v="78.86"/>
    <d v="2013-01-01T00:00:00"/>
    <s v="Winter"/>
  </r>
  <r>
    <n v="2013"/>
    <n v="2"/>
    <x v="0"/>
    <x v="0"/>
    <n v="45740158"/>
    <n v="6564112"/>
    <n v="52304270"/>
    <n v="55148279"/>
    <n v="607564"/>
    <n v="62950"/>
    <n v="670514"/>
    <n v="40360477"/>
    <n v="16726427"/>
    <n v="57086904"/>
    <n v="49951073"/>
    <n v="22147136"/>
    <n v="72098209"/>
    <n v="80.8"/>
    <n v="75.52"/>
    <n v="79.180000000000007"/>
    <d v="2013-02-01T00:00:00"/>
    <s v="Winter"/>
  </r>
  <r>
    <n v="2013"/>
    <n v="3"/>
    <x v="1"/>
    <x v="0"/>
    <n v="56564538"/>
    <n v="8327386"/>
    <n v="64891924"/>
    <n v="52304270"/>
    <n v="710137"/>
    <n v="73801"/>
    <n v="783938"/>
    <n v="50591912"/>
    <n v="21085987"/>
    <n v="71677898"/>
    <n v="59506857"/>
    <n v="25537593"/>
    <n v="85044451"/>
    <n v="85.02"/>
    <n v="82.57"/>
    <n v="84.28"/>
    <d v="2013-03-01T00:00:00"/>
    <s v="Spring"/>
  </r>
  <r>
    <n v="2013"/>
    <n v="4"/>
    <x v="1"/>
    <x v="0"/>
    <n v="53228575"/>
    <n v="7562330"/>
    <n v="60790905"/>
    <n v="64891924"/>
    <n v="693876"/>
    <n v="69117"/>
    <n v="762993"/>
    <n v="47323331"/>
    <n v="20045084"/>
    <n v="67368414"/>
    <n v="57130620"/>
    <n v="25447607"/>
    <n v="82578227"/>
    <n v="82.83"/>
    <n v="78.77"/>
    <n v="81.58"/>
    <d v="2013-04-01T00:00:00"/>
    <s v="Spring"/>
  </r>
  <r>
    <n v="2013"/>
    <n v="5"/>
    <x v="1"/>
    <x v="0"/>
    <n v="56562929"/>
    <n v="8023420"/>
    <n v="64586349"/>
    <n v="60790905"/>
    <n v="721429"/>
    <n v="70699"/>
    <n v="792128"/>
    <n v="50124875"/>
    <n v="22377482"/>
    <n v="72502358"/>
    <n v="59071089"/>
    <n v="26997317"/>
    <n v="86068406"/>
    <n v="84.86"/>
    <n v="82.89"/>
    <n v="84.24"/>
    <d v="2013-05-01T00:00:00"/>
    <s v="Spring"/>
  </r>
  <r>
    <n v="2013"/>
    <n v="6"/>
    <x v="2"/>
    <x v="0"/>
    <n v="57990789"/>
    <n v="8883643"/>
    <n v="66874432"/>
    <n v="64586349"/>
    <n v="719340"/>
    <n v="72922"/>
    <n v="792262"/>
    <n v="52826886"/>
    <n v="24553427"/>
    <n v="77380313"/>
    <n v="60724524"/>
    <n v="28241852"/>
    <n v="88966376"/>
    <n v="86.99"/>
    <n v="86.94"/>
    <n v="86.98"/>
    <d v="2013-06-01T00:00:00"/>
    <s v="Summer"/>
  </r>
  <r>
    <n v="2013"/>
    <n v="7"/>
    <x v="2"/>
    <x v="0"/>
    <n v="59310478"/>
    <n v="9709009"/>
    <n v="69019487"/>
    <n v="66874432"/>
    <n v="751473"/>
    <n v="77429"/>
    <n v="828902"/>
    <n v="54754440"/>
    <n v="26042187"/>
    <n v="80796627"/>
    <n v="63316272"/>
    <n v="29900939"/>
    <n v="93217210"/>
    <n v="86.48"/>
    <n v="87.09"/>
    <n v="86.68"/>
    <d v="2013-07-01T00:00:00"/>
    <s v="Summer"/>
  </r>
  <r>
    <n v="2013"/>
    <n v="8"/>
    <x v="2"/>
    <x v="0"/>
    <n v="58115405"/>
    <n v="9403309"/>
    <n v="67518714"/>
    <n v="69019487"/>
    <n v="747070"/>
    <n v="75176"/>
    <n v="822246"/>
    <n v="53123226"/>
    <n v="25714167"/>
    <n v="78837393"/>
    <n v="62097316"/>
    <n v="29469344"/>
    <n v="91566659"/>
    <n v="85.55"/>
    <n v="87.26"/>
    <n v="86.1"/>
    <d v="2013-08-01T00:00:00"/>
    <s v="Summer"/>
  </r>
  <r>
    <n v="2013"/>
    <n v="9"/>
    <x v="3"/>
    <x v="0"/>
    <n v="50766098"/>
    <n v="7255037"/>
    <n v="58021135"/>
    <n v="67518714"/>
    <n v="683379"/>
    <n v="62011"/>
    <n v="745390"/>
    <n v="44654213"/>
    <n v="21483923"/>
    <n v="66138136"/>
    <n v="55225708"/>
    <n v="25751134"/>
    <n v="80976841"/>
    <n v="80.86"/>
    <n v="83.43"/>
    <n v="81.680000000000007"/>
    <d v="2013-09-01T00:00:00"/>
    <s v="Fall"/>
  </r>
  <r>
    <n v="2013"/>
    <n v="10"/>
    <x v="3"/>
    <x v="0"/>
    <n v="54706177"/>
    <n v="7274427"/>
    <n v="61980604"/>
    <n v="58021135"/>
    <n v="708414"/>
    <n v="64554"/>
    <n v="772968"/>
    <n v="47859063"/>
    <n v="20748717"/>
    <n v="68607779"/>
    <n v="57851883"/>
    <n v="25572700"/>
    <n v="83424583"/>
    <n v="82.73"/>
    <n v="81.14"/>
    <n v="82.24"/>
    <d v="2013-10-01T00:00:00"/>
    <s v="Fall"/>
  </r>
  <r>
    <n v="2013"/>
    <n v="11"/>
    <x v="3"/>
    <x v="0"/>
    <n v="50542332"/>
    <n v="6880849"/>
    <n v="57423181"/>
    <n v="61980604"/>
    <n v="655776"/>
    <n v="63286"/>
    <n v="719062"/>
    <n v="44420301"/>
    <n v="18154243"/>
    <n v="62574544"/>
    <n v="55462933"/>
    <n v="23420132"/>
    <n v="78883064"/>
    <n v="80.09"/>
    <n v="77.52"/>
    <n v="79.33"/>
    <d v="2013-11-01T00:00:00"/>
    <s v="Fall"/>
  </r>
  <r>
    <n v="2013"/>
    <n v="12"/>
    <x v="3"/>
    <x v="0"/>
    <n v="54332936"/>
    <n v="7967171"/>
    <n v="62300107"/>
    <n v="57423181"/>
    <n v="662288"/>
    <n v="69136"/>
    <n v="731424"/>
    <n v="49132863"/>
    <n v="20735571"/>
    <n v="69868434"/>
    <n v="57751867"/>
    <n v="25019442"/>
    <n v="82771309"/>
    <n v="85.08"/>
    <n v="82.88"/>
    <n v="84.41"/>
    <d v="2013-12-01T00:00:00"/>
    <s v="Winter"/>
  </r>
  <r>
    <n v="2014"/>
    <n v="1"/>
    <x v="0"/>
    <x v="0"/>
    <n v="47957371"/>
    <n v="7671576"/>
    <n v="55628947"/>
    <n v="62300107"/>
    <n v="624812"/>
    <n v="68624"/>
    <n v="693436"/>
    <n v="43564242"/>
    <n v="20028742"/>
    <n v="63592984"/>
    <n v="54016077"/>
    <n v="25155594"/>
    <n v="79171671"/>
    <n v="80.650000000000006"/>
    <n v="79.62"/>
    <n v="80.319999999999993"/>
    <d v="2014-01-01T00:00:00"/>
    <s v="Winter"/>
  </r>
  <r>
    <n v="2014"/>
    <n v="2"/>
    <x v="0"/>
    <x v="0"/>
    <n v="45513184"/>
    <n v="6770046"/>
    <n v="52283230"/>
    <n v="55628947"/>
    <n v="577191"/>
    <n v="63469"/>
    <n v="640660"/>
    <n v="40543404"/>
    <n v="16936813"/>
    <n v="57480217"/>
    <n v="49369928"/>
    <n v="22614187"/>
    <n v="71984116"/>
    <n v="82.12"/>
    <n v="74.89"/>
    <n v="79.849999999999994"/>
    <d v="2014-02-01T00:00:00"/>
    <s v="Winter"/>
  </r>
  <r>
    <n v="2014"/>
    <n v="3"/>
    <x v="1"/>
    <x v="0"/>
    <n v="57761938"/>
    <n v="8503133"/>
    <n v="66265071"/>
    <n v="52283230"/>
    <n v="696376"/>
    <n v="76064"/>
    <n v="772440"/>
    <n v="51862069"/>
    <n v="21310134"/>
    <n v="73172203"/>
    <n v="60675476"/>
    <n v="26884781"/>
    <n v="87560258"/>
    <n v="85.47"/>
    <n v="79.260000000000005"/>
    <n v="83.57"/>
    <d v="2014-03-01T00:00:00"/>
    <s v="Spring"/>
  </r>
  <r>
    <n v="2014"/>
    <n v="4"/>
    <x v="1"/>
    <x v="0"/>
    <n v="55247482"/>
    <n v="8094515"/>
    <n v="63341997"/>
    <n v="66265071"/>
    <n v="676337"/>
    <n v="71580"/>
    <n v="747917"/>
    <n v="49245719"/>
    <n v="21103585"/>
    <n v="70349305"/>
    <n v="57998604"/>
    <n v="26343479"/>
    <n v="84342083"/>
    <n v="84.91"/>
    <n v="80.11"/>
    <n v="83.41"/>
    <d v="2014-04-01T00:00:00"/>
    <s v="Spring"/>
  </r>
  <r>
    <n v="2014"/>
    <n v="5"/>
    <x v="1"/>
    <x v="0"/>
    <n v="57888637"/>
    <n v="8479378"/>
    <n v="66368015"/>
    <n v="63341997"/>
    <n v="695855"/>
    <n v="72994"/>
    <n v="768849"/>
    <n v="51524009"/>
    <n v="23291494"/>
    <n v="74815503"/>
    <n v="59709929"/>
    <n v="28271254"/>
    <n v="87981183"/>
    <n v="86.29"/>
    <n v="82.39"/>
    <n v="85.04"/>
    <d v="2014-05-01T00:00:00"/>
    <s v="Spring"/>
  </r>
  <r>
    <n v="2014"/>
    <n v="6"/>
    <x v="2"/>
    <x v="0"/>
    <n v="59261855"/>
    <n v="9196927"/>
    <n v="68458782"/>
    <n v="66368015"/>
    <n v="701992"/>
    <n v="76431"/>
    <n v="778423"/>
    <n v="53979753"/>
    <n v="25120695"/>
    <n v="79100448"/>
    <n v="61760043"/>
    <n v="29751163"/>
    <n v="91511206"/>
    <n v="87.4"/>
    <n v="84.44"/>
    <n v="86.44"/>
    <d v="2014-06-01T00:00:00"/>
    <s v="Summer"/>
  </r>
  <r>
    <n v="2014"/>
    <n v="7"/>
    <x v="2"/>
    <x v="0"/>
    <n v="61757222"/>
    <n v="9988913"/>
    <n v="71746135"/>
    <n v="68458782"/>
    <n v="735424"/>
    <n v="80457"/>
    <n v="815881"/>
    <n v="56874287"/>
    <n v="26435210"/>
    <n v="83309497"/>
    <n v="64773257"/>
    <n v="31266476"/>
    <n v="96039732"/>
    <n v="87.81"/>
    <n v="84.55"/>
    <n v="86.74"/>
    <d v="2014-07-01T00:00:00"/>
    <s v="Summer"/>
  </r>
  <r>
    <n v="2014"/>
    <n v="8"/>
    <x v="2"/>
    <x v="0"/>
    <n v="59758814"/>
    <n v="9629317"/>
    <n v="69388131"/>
    <n v="71746135"/>
    <n v="723997"/>
    <n v="76481"/>
    <n v="800478"/>
    <n v="54640338"/>
    <n v="26231520"/>
    <n v="80871859"/>
    <n v="62868005"/>
    <n v="30621247"/>
    <n v="93489252"/>
    <n v="86.91"/>
    <n v="85.66"/>
    <n v="86.5"/>
    <d v="2014-08-01T00:00:00"/>
    <s v="Summer"/>
  </r>
  <r>
    <n v="2014"/>
    <n v="9"/>
    <x v="3"/>
    <x v="0"/>
    <n v="52529329"/>
    <n v="7342936"/>
    <n v="59872265"/>
    <n v="69388131"/>
    <n v="665490"/>
    <n v="62408"/>
    <n v="727898"/>
    <n v="46336496"/>
    <n v="21739193"/>
    <n v="68075689"/>
    <n v="56458422"/>
    <n v="26575230"/>
    <n v="83033652"/>
    <n v="82.07"/>
    <n v="81.8"/>
    <n v="81.99"/>
    <d v="2014-09-01T00:00:00"/>
    <s v="Fall"/>
  </r>
  <r>
    <n v="2014"/>
    <n v="10"/>
    <x v="3"/>
    <x v="0"/>
    <n v="57084257"/>
    <n v="7286846"/>
    <n v="64371103"/>
    <n v="59872265"/>
    <n v="693925"/>
    <n v="63369"/>
    <n v="757294"/>
    <n v="50112975"/>
    <n v="20835706"/>
    <n v="70948681"/>
    <n v="59584323"/>
    <n v="26072467"/>
    <n v="85656790"/>
    <n v="84.1"/>
    <n v="79.91"/>
    <n v="82.83"/>
    <d v="2014-10-01T00:00:00"/>
    <s v="Fall"/>
  </r>
  <r>
    <n v="2014"/>
    <n v="11"/>
    <x v="3"/>
    <x v="0"/>
    <n v="52577733"/>
    <n v="7049844"/>
    <n v="59627577"/>
    <n v="64371103"/>
    <n v="648891"/>
    <n v="64800"/>
    <n v="713691"/>
    <n v="46352174"/>
    <n v="18524898"/>
    <n v="64877072"/>
    <n v="56949527"/>
    <n v="24321971"/>
    <n v="81271498"/>
    <n v="81.39"/>
    <n v="76.17"/>
    <n v="79.83"/>
    <d v="2014-11-01T00:00:00"/>
    <s v="Fall"/>
  </r>
  <r>
    <n v="2014"/>
    <n v="12"/>
    <x v="3"/>
    <x v="0"/>
    <n v="55486727"/>
    <n v="8165573"/>
    <n v="63652300"/>
    <n v="59627577"/>
    <n v="666264"/>
    <n v="71191"/>
    <n v="737455"/>
    <n v="50303173"/>
    <n v="21132922"/>
    <n v="71436095"/>
    <n v="60270587"/>
    <n v="26175094"/>
    <n v="86445681"/>
    <n v="83.46"/>
    <n v="80.739999999999995"/>
    <n v="82.64"/>
    <d v="2014-12-01T00:00:00"/>
    <s v="Winter"/>
  </r>
  <r>
    <n v="2015"/>
    <n v="1"/>
    <x v="0"/>
    <x v="0"/>
    <n v="49727583"/>
    <n v="7936993"/>
    <n v="57664576"/>
    <n v="63652300"/>
    <n v="634734"/>
    <n v="69893"/>
    <n v="704627"/>
    <n v="45137552"/>
    <n v="20498038"/>
    <n v="65635591"/>
    <n v="56980250"/>
    <n v="26025329"/>
    <n v="83005579"/>
    <n v="79.22"/>
    <n v="78.760000000000005"/>
    <n v="79.069999999999993"/>
    <d v="2015-01-01T00:00:00"/>
    <s v="Winter"/>
  </r>
  <r>
    <n v="2015"/>
    <n v="2"/>
    <x v="0"/>
    <x v="0"/>
    <n v="47164538"/>
    <n v="6886262"/>
    <n v="54050800"/>
    <n v="57664576"/>
    <n v="569972"/>
    <n v="62648"/>
    <n v="632620"/>
    <n v="42248126"/>
    <n v="17238321"/>
    <n v="59486447"/>
    <n v="51251150"/>
    <n v="22933198"/>
    <n v="74184348"/>
    <n v="82.43"/>
    <n v="75.17"/>
    <n v="80.19"/>
    <d v="2015-02-01T00:00:00"/>
    <s v="Winter"/>
  </r>
  <r>
    <n v="2015"/>
    <n v="3"/>
    <x v="1"/>
    <x v="0"/>
    <n v="59557228"/>
    <n v="8524515"/>
    <n v="68081743"/>
    <n v="54050800"/>
    <n v="683892"/>
    <n v="72926"/>
    <n v="756818"/>
    <n v="53924945"/>
    <n v="21511252"/>
    <n v="75436197"/>
    <n v="62860123"/>
    <n v="27071647"/>
    <n v="89931770"/>
    <n v="85.79"/>
    <n v="79.459999999999994"/>
    <n v="83.88"/>
    <d v="2015-03-01T00:00:00"/>
    <s v="Spring"/>
  </r>
  <r>
    <n v="2015"/>
    <n v="4"/>
    <x v="1"/>
    <x v="0"/>
    <n v="57698044"/>
    <n v="8119223"/>
    <n v="65817267"/>
    <n v="68081743"/>
    <n v="669783"/>
    <n v="70846"/>
    <n v="740629"/>
    <n v="51883045"/>
    <n v="20959421"/>
    <n v="72842466"/>
    <n v="61116535"/>
    <n v="27197262"/>
    <n v="88313797"/>
    <n v="84.89"/>
    <n v="77.06"/>
    <n v="82.48"/>
    <d v="2015-04-01T00:00:00"/>
    <s v="Spring"/>
  </r>
  <r>
    <n v="2015"/>
    <n v="5"/>
    <x v="1"/>
    <x v="0"/>
    <n v="60251945"/>
    <n v="8567847"/>
    <n v="68819792"/>
    <n v="65817267"/>
    <n v="690116"/>
    <n v="71597"/>
    <n v="761713"/>
    <n v="54255235"/>
    <n v="23490547"/>
    <n v="77745782"/>
    <n v="63393874"/>
    <n v="29064149"/>
    <n v="92458022"/>
    <n v="85.58"/>
    <n v="80.819999999999993"/>
    <n v="84.09"/>
    <d v="2015-05-01T00:00:00"/>
    <s v="Spring"/>
  </r>
  <r>
    <n v="2015"/>
    <n v="6"/>
    <x v="2"/>
    <x v="0"/>
    <n v="61810705"/>
    <n v="9352818"/>
    <n v="71163523"/>
    <n v="68819792"/>
    <n v="697378"/>
    <n v="74020"/>
    <n v="771398"/>
    <n v="56994796"/>
    <n v="25448026"/>
    <n v="82442822"/>
    <n v="65232947"/>
    <n v="30162970"/>
    <n v="95395918"/>
    <n v="87.37"/>
    <n v="84.37"/>
    <n v="86.42"/>
    <d v="2015-06-01T00:00:00"/>
    <s v="Summer"/>
  </r>
  <r>
    <n v="2015"/>
    <n v="7"/>
    <x v="2"/>
    <x v="0"/>
    <n v="65128528"/>
    <n v="10395270"/>
    <n v="75523798"/>
    <n v="71163523"/>
    <n v="732753"/>
    <n v="78536"/>
    <n v="811289"/>
    <n v="60430804"/>
    <n v="27573804"/>
    <n v="88004608"/>
    <n v="68556515"/>
    <n v="32116607"/>
    <n v="100673122"/>
    <n v="88.15"/>
    <n v="85.86"/>
    <n v="87.42"/>
    <d v="2015-07-01T00:00:00"/>
    <s v="Summer"/>
  </r>
  <r>
    <n v="2015"/>
    <n v="8"/>
    <x v="2"/>
    <x v="0"/>
    <n v="62770180"/>
    <n v="9981208"/>
    <n v="72751388"/>
    <n v="75523798"/>
    <n v="723998"/>
    <n v="75991"/>
    <n v="799989"/>
    <n v="57819107"/>
    <n v="27156489"/>
    <n v="84975596"/>
    <n v="66730854"/>
    <n v="31564671"/>
    <n v="98295526"/>
    <n v="86.65"/>
    <n v="86.03"/>
    <n v="86.45"/>
    <d v="2015-08-01T00:00:00"/>
    <s v="Summer"/>
  </r>
  <r>
    <n v="2015"/>
    <n v="9"/>
    <x v="3"/>
    <x v="0"/>
    <n v="55989104"/>
    <n v="7656359"/>
    <n v="63645463"/>
    <n v="72751388"/>
    <n v="658392"/>
    <n v="62367"/>
    <n v="720759"/>
    <n v="49857937"/>
    <n v="22404240"/>
    <n v="72262177"/>
    <n v="59511944"/>
    <n v="27510443"/>
    <n v="87022387"/>
    <n v="83.78"/>
    <n v="81.44"/>
    <n v="83.04"/>
    <d v="2015-09-01T00:00:00"/>
    <s v="Fall"/>
  </r>
  <r>
    <n v="2015"/>
    <n v="10"/>
    <x v="3"/>
    <x v="0"/>
    <n v="60892131"/>
    <n v="7739519"/>
    <n v="68631650"/>
    <n v="63645463"/>
    <n v="687710"/>
    <n v="63662"/>
    <n v="751372"/>
    <n v="54074370"/>
    <n v="21786470"/>
    <n v="75860840"/>
    <n v="62551345"/>
    <n v="26675237"/>
    <n v="89226582"/>
    <n v="86.45"/>
    <n v="81.67"/>
    <n v="85.02"/>
    <d v="2015-10-01T00:00:00"/>
    <s v="Fall"/>
  </r>
  <r>
    <n v="2015"/>
    <n v="11"/>
    <x v="3"/>
    <x v="0"/>
    <n v="57150501"/>
    <n v="7332481"/>
    <n v="64482982"/>
    <n v="68631650"/>
    <n v="651176"/>
    <n v="63492"/>
    <n v="714668"/>
    <n v="50913042"/>
    <n v="18876704"/>
    <n v="69789747"/>
    <n v="60467124"/>
    <n v="24179274"/>
    <n v="84646398"/>
    <n v="84.2"/>
    <n v="78.069999999999993"/>
    <n v="82.45"/>
    <d v="2015-11-01T00:00:00"/>
    <s v="Fall"/>
  </r>
  <r>
    <n v="2015"/>
    <n v="12"/>
    <x v="3"/>
    <x v="0"/>
    <n v="57870281"/>
    <n v="8410860"/>
    <n v="66281141"/>
    <n v="64482982"/>
    <n v="659785"/>
    <n v="70945"/>
    <n v="730730"/>
    <n v="53118963"/>
    <n v="21432815"/>
    <n v="74551779"/>
    <n v="63241198"/>
    <n v="26711528"/>
    <n v="89952725"/>
    <n v="83.99"/>
    <n v="80.239999999999995"/>
    <n v="82.88"/>
    <d v="2015-12-01T00:00:00"/>
    <s v="Winter"/>
  </r>
  <r>
    <n v="2016"/>
    <n v="1"/>
    <x v="0"/>
    <x v="0"/>
    <n v="52473830"/>
    <n v="8220234"/>
    <n v="60694064"/>
    <n v="66281141"/>
    <n v="636761"/>
    <n v="70476"/>
    <n v="707237"/>
    <n v="48074919"/>
    <n v="20930267"/>
    <n v="69005186"/>
    <n v="59672179"/>
    <n v="26332010"/>
    <n v="86004190"/>
    <n v="80.569999999999993"/>
    <n v="79.489999999999995"/>
    <n v="80.23"/>
    <d v="2016-01-01T00:00:00"/>
    <s v="Winter"/>
  </r>
  <r>
    <n v="2016"/>
    <n v="2"/>
    <x v="0"/>
    <x v="0"/>
    <n v="51111121"/>
    <n v="7276912"/>
    <n v="58388033"/>
    <n v="60694064"/>
    <n v="612176"/>
    <n v="65905"/>
    <n v="678081"/>
    <n v="46460173"/>
    <n v="17857305"/>
    <n v="64317478"/>
    <n v="57466885"/>
    <n v="24198863"/>
    <n v="81665748"/>
    <n v="80.849999999999994"/>
    <n v="73.790000000000006"/>
    <n v="78.760000000000005"/>
    <d v="2016-02-01T00:00:00"/>
    <s v="Winter"/>
  </r>
  <r>
    <n v="2016"/>
    <n v="3"/>
    <x v="1"/>
    <x v="0"/>
    <n v="61592900"/>
    <n v="8846249"/>
    <n v="70439149"/>
    <n v="58388033"/>
    <n v="697830"/>
    <n v="74166"/>
    <n v="771996"/>
    <n v="56704006"/>
    <n v="21722335"/>
    <n v="78426341"/>
    <n v="66469561"/>
    <n v="27375245"/>
    <n v="93844807"/>
    <n v="85.31"/>
    <n v="79.349999999999994"/>
    <n v="83.57"/>
    <d v="2016-03-01T00:00:00"/>
    <s v="Spring"/>
  </r>
  <r>
    <n v="2016"/>
    <n v="4"/>
    <x v="1"/>
    <x v="0"/>
    <n v="58893676"/>
    <n v="8236909"/>
    <n v="67130585"/>
    <n v="70439149"/>
    <n v="675633"/>
    <n v="71002"/>
    <n v="746635"/>
    <n v="53623641"/>
    <n v="21272344"/>
    <n v="74895985"/>
    <n v="63775636"/>
    <n v="27557124"/>
    <n v="91332760"/>
    <n v="84.08"/>
    <n v="77.19"/>
    <n v="82"/>
    <d v="2016-04-01T00:00:00"/>
    <s v="Spring"/>
  </r>
  <r>
    <n v="2016"/>
    <n v="5"/>
    <x v="1"/>
    <x v="0"/>
    <n v="62752121"/>
    <n v="8658474"/>
    <n v="71410595"/>
    <n v="67130585"/>
    <n v="702944"/>
    <n v="72121"/>
    <n v="775065"/>
    <n v="57131517"/>
    <n v="23417723"/>
    <n v="80549240"/>
    <n v="66545323"/>
    <n v="29545223"/>
    <n v="96090546"/>
    <n v="85.85"/>
    <n v="79.260000000000005"/>
    <n v="83.83"/>
    <d v="2016-05-01T00:00:00"/>
    <s v="Spring"/>
  </r>
  <r>
    <n v="2016"/>
    <n v="6"/>
    <x v="2"/>
    <x v="0"/>
    <n v="64757222"/>
    <n v="9649641"/>
    <n v="74406863"/>
    <n v="71410595"/>
    <n v="713634"/>
    <n v="75070"/>
    <n v="788704"/>
    <n v="60278319"/>
    <n v="26042153"/>
    <n v="86320472"/>
    <n v="68799336"/>
    <n v="30831533"/>
    <n v="99630870"/>
    <n v="87.61"/>
    <n v="84.47"/>
    <n v="86.64"/>
    <d v="2016-06-01T00:00:00"/>
    <s v="Summer"/>
  </r>
  <r>
    <n v="2016"/>
    <n v="7"/>
    <x v="2"/>
    <x v="0"/>
    <n v="66134540"/>
    <n v="10651750"/>
    <n v="76786290"/>
    <n v="74406863"/>
    <n v="731044"/>
    <n v="78726"/>
    <n v="809770"/>
    <n v="62349210"/>
    <n v="28079998"/>
    <n v="90429208"/>
    <n v="71524171"/>
    <n v="32640788"/>
    <n v="104164959"/>
    <n v="87.17"/>
    <n v="86.03"/>
    <n v="86.81"/>
    <d v="2016-07-01T00:00:00"/>
    <s v="Summer"/>
  </r>
  <r>
    <n v="2016"/>
    <n v="8"/>
    <x v="2"/>
    <x v="0"/>
    <n v="63498165"/>
    <n v="9851036"/>
    <n v="73349201"/>
    <n v="76786290"/>
    <n v="731988"/>
    <n v="74906"/>
    <n v="806894"/>
    <n v="59282098"/>
    <n v="26662752"/>
    <n v="85944849"/>
    <n v="69971791"/>
    <n v="31634549"/>
    <n v="101606340"/>
    <n v="84.72"/>
    <n v="84.28"/>
    <n v="84.59"/>
    <d v="2016-08-01T00:00:00"/>
    <s v="Summer"/>
  </r>
  <r>
    <n v="2016"/>
    <n v="9"/>
    <x v="3"/>
    <x v="0"/>
    <n v="58619844"/>
    <n v="7767077"/>
    <n v="66386921"/>
    <n v="73349201"/>
    <n v="673171"/>
    <n v="62762"/>
    <n v="735933"/>
    <n v="52660625"/>
    <n v="22480586"/>
    <n v="75141211"/>
    <n v="62507787"/>
    <n v="27705349"/>
    <n v="90213136"/>
    <n v="84.25"/>
    <n v="81.14"/>
    <n v="83.29"/>
    <d v="2016-09-01T00:00:00"/>
    <s v="Fall"/>
  </r>
  <r>
    <n v="2016"/>
    <n v="10"/>
    <x v="3"/>
    <x v="0"/>
    <n v="61708696"/>
    <n v="7745955"/>
    <n v="69454651"/>
    <n v="66386921"/>
    <n v="688347"/>
    <n v="63260"/>
    <n v="751607"/>
    <n v="55320059"/>
    <n v="21775573"/>
    <n v="77095632"/>
    <n v="64769646"/>
    <n v="27171641"/>
    <n v="91941286"/>
    <n v="85.41"/>
    <n v="80.14"/>
    <n v="83.85"/>
    <d v="2016-10-01T00:00:00"/>
    <s v="Fall"/>
  </r>
  <r>
    <n v="2016"/>
    <n v="11"/>
    <x v="3"/>
    <x v="0"/>
    <n v="59269062"/>
    <n v="7259192"/>
    <n v="66528254"/>
    <n v="69454651"/>
    <n v="658162"/>
    <n v="61188"/>
    <n v="719350"/>
    <n v="53280610"/>
    <n v="18805494"/>
    <n v="72086104"/>
    <n v="62885798"/>
    <n v="23851439"/>
    <n v="86737237"/>
    <n v="84.73"/>
    <n v="78.84"/>
    <n v="83.11"/>
    <d v="2016-11-01T00:00:00"/>
    <s v="Fall"/>
  </r>
  <r>
    <n v="2016"/>
    <n v="12"/>
    <x v="3"/>
    <x v="0"/>
    <n v="59178183"/>
    <n v="8735834"/>
    <n v="67914017"/>
    <n v="66528254"/>
    <n v="662154"/>
    <n v="72280"/>
    <n v="734434"/>
    <n v="54812269"/>
    <n v="22001650"/>
    <n v="76813919"/>
    <n v="65698072"/>
    <n v="27118317"/>
    <n v="92816388"/>
    <n v="83.43"/>
    <n v="81.13"/>
    <n v="82.76"/>
    <d v="2016-12-01T00:00:00"/>
    <s v="Winter"/>
  </r>
  <r>
    <n v="2017"/>
    <n v="1"/>
    <x v="0"/>
    <x v="0"/>
    <n v="54108732"/>
    <n v="8451833"/>
    <n v="62560565"/>
    <n v="67914017"/>
    <n v="645169"/>
    <n v="71242"/>
    <n v="716411"/>
    <n v="50136641"/>
    <n v="21167951"/>
    <n v="71304592"/>
    <n v="63084038"/>
    <n v="26711252"/>
    <n v="89795289"/>
    <n v="79.48"/>
    <n v="79.25"/>
    <n v="79.41"/>
    <d v="2017-01-01T00:00:00"/>
    <s v="Winter"/>
  </r>
  <r>
    <n v="2017"/>
    <n v="2"/>
    <x v="0"/>
    <x v="0"/>
    <n v="51077566"/>
    <n v="7243348"/>
    <n v="58320914"/>
    <n v="62560565"/>
    <n v="592048"/>
    <n v="63807"/>
    <n v="655855"/>
    <n v="46484888"/>
    <n v="17661922"/>
    <n v="64146810"/>
    <n v="57436638"/>
    <n v="23785528"/>
    <n v="81222166"/>
    <n v="80.930000000000007"/>
    <n v="74.25"/>
    <n v="78.98"/>
    <d v="2017-02-01T00:00:00"/>
    <s v="Winter"/>
  </r>
  <r>
    <n v="2017"/>
    <n v="3"/>
    <x v="1"/>
    <x v="0"/>
    <n v="63963230"/>
    <n v="8934658"/>
    <n v="72897888"/>
    <n v="58320914"/>
    <n v="696983"/>
    <n v="73651"/>
    <n v="770634"/>
    <n v="58791439"/>
    <n v="21913330"/>
    <n v="80704768"/>
    <n v="68737048"/>
    <n v="27863556"/>
    <n v="96600605"/>
    <n v="85.53"/>
    <n v="78.650000000000006"/>
    <n v="83.54"/>
    <d v="2017-03-01T00:00:00"/>
    <s v="Spring"/>
  </r>
  <r>
    <n v="2017"/>
    <n v="4"/>
    <x v="1"/>
    <x v="0"/>
    <n v="61098649"/>
    <n v="9097723"/>
    <n v="70196372"/>
    <n v="72897888"/>
    <n v="673380"/>
    <n v="72137"/>
    <n v="745517"/>
    <n v="56302475"/>
    <n v="23057928"/>
    <n v="79360403"/>
    <n v="66075373"/>
    <n v="28543219"/>
    <n v="94618593"/>
    <n v="85.21"/>
    <n v="80.78"/>
    <n v="83.87"/>
    <d v="2017-04-01T00:00:00"/>
    <s v="Spring"/>
  </r>
  <r>
    <n v="2017"/>
    <n v="5"/>
    <x v="1"/>
    <x v="0"/>
    <n v="64442559"/>
    <n v="9178905"/>
    <n v="73621464"/>
    <n v="70196372"/>
    <n v="706747"/>
    <n v="72895"/>
    <n v="779642"/>
    <n v="59016272"/>
    <n v="24399847"/>
    <n v="83416119"/>
    <n v="68835179"/>
    <n v="30455251"/>
    <n v="99290430"/>
    <n v="85.74"/>
    <n v="80.12"/>
    <n v="84.01"/>
    <d v="2017-05-01T00:00:00"/>
    <s v="Spring"/>
  </r>
  <r>
    <n v="2017"/>
    <n v="6"/>
    <x v="2"/>
    <x v="0"/>
    <n v="66746003"/>
    <n v="10211356"/>
    <n v="76957359"/>
    <n v="73621464"/>
    <n v="718817"/>
    <n v="76507"/>
    <n v="795324"/>
    <n v="62468942"/>
    <n v="27079807"/>
    <n v="89548749"/>
    <n v="71663336"/>
    <n v="31904900"/>
    <n v="103568236"/>
    <n v="87.17"/>
    <n v="84.88"/>
    <n v="86.46"/>
    <d v="2017-06-01T00:00:00"/>
    <s v="Summer"/>
  </r>
  <r>
    <n v="2017"/>
    <n v="7"/>
    <x v="2"/>
    <x v="0"/>
    <n v="68574097"/>
    <n v="11190376"/>
    <n v="79764473"/>
    <n v="76957359"/>
    <n v="739541"/>
    <n v="81408"/>
    <n v="820949"/>
    <n v="65035199"/>
    <n v="28958608"/>
    <n v="93993807"/>
    <n v="74806668"/>
    <n v="33680646"/>
    <n v="108487314"/>
    <n v="86.94"/>
    <n v="85.98"/>
    <n v="86.64"/>
    <d v="2017-07-01T00:00:00"/>
    <s v="Summer"/>
  </r>
  <r>
    <n v="2017"/>
    <n v="8"/>
    <x v="2"/>
    <x v="0"/>
    <n v="66663503"/>
    <n v="10384018"/>
    <n v="77047521"/>
    <n v="79764473"/>
    <n v="735233"/>
    <n v="75662"/>
    <n v="810895"/>
    <n v="62520253"/>
    <n v="27802659"/>
    <n v="90322912"/>
    <n v="73231019"/>
    <n v="32407563"/>
    <n v="105638582"/>
    <n v="85.37"/>
    <n v="85.79"/>
    <n v="85.5"/>
    <d v="2017-08-01T00:00:00"/>
    <s v="Summer"/>
  </r>
  <r>
    <n v="2017"/>
    <n v="9"/>
    <x v="3"/>
    <x v="0"/>
    <n v="57143966"/>
    <n v="7726792"/>
    <n v="64870758"/>
    <n v="77047521"/>
    <n v="652003"/>
    <n v="60039"/>
    <n v="712042"/>
    <n v="51871547"/>
    <n v="22667597"/>
    <n v="74539144"/>
    <n v="63120276"/>
    <n v="28148004"/>
    <n v="91268280"/>
    <n v="82.18"/>
    <n v="80.53"/>
    <n v="81.67"/>
    <d v="2017-09-01T00:00:00"/>
    <s v="Fall"/>
  </r>
  <r>
    <n v="2017"/>
    <n v="10"/>
    <x v="3"/>
    <x v="0"/>
    <n v="64624806"/>
    <n v="8030539"/>
    <n v="72655345"/>
    <n v="64870758"/>
    <n v="691971"/>
    <n v="64389"/>
    <n v="756360"/>
    <n v="58257900"/>
    <n v="22261064"/>
    <n v="80518965"/>
    <n v="68007435"/>
    <n v="28299580"/>
    <n v="96307015"/>
    <n v="85.66"/>
    <n v="78.66"/>
    <n v="83.61"/>
    <d v="2017-10-01T00:00:00"/>
    <s v="Fall"/>
  </r>
  <r>
    <n v="2017"/>
    <n v="11"/>
    <x v="3"/>
    <x v="0"/>
    <n v="61911285"/>
    <n v="7678861"/>
    <n v="69590146"/>
    <n v="72655345"/>
    <n v="656939"/>
    <n v="62616"/>
    <n v="719555"/>
    <n v="55883966"/>
    <n v="19680722"/>
    <n v="75564688"/>
    <n v="65149163"/>
    <n v="25035612"/>
    <n v="90184775"/>
    <n v="85.78"/>
    <n v="78.61"/>
    <n v="83.79"/>
    <d v="2017-11-01T00:00:00"/>
    <s v="Fall"/>
  </r>
  <r>
    <n v="2017"/>
    <n v="12"/>
    <x v="3"/>
    <x v="0"/>
    <n v="61373581"/>
    <n v="8913285"/>
    <n v="70286866"/>
    <n v="69590146"/>
    <n v="667216"/>
    <n v="71441"/>
    <n v="738657"/>
    <n v="56980320"/>
    <n v="22548282"/>
    <n v="79528602"/>
    <n v="68235413"/>
    <n v="27932831"/>
    <n v="96168244"/>
    <n v="83.51"/>
    <n v="80.72"/>
    <n v="82.7"/>
    <d v="2017-12-01T00:00:00"/>
    <s v="Winter"/>
  </r>
  <r>
    <n v="2018"/>
    <n v="1"/>
    <x v="0"/>
    <x v="0"/>
    <n v="55829992"/>
    <n v="8559733"/>
    <n v="64389725"/>
    <n v="70286866"/>
    <n v="653344"/>
    <n v="69767"/>
    <n v="723111"/>
    <n v="51716868"/>
    <n v="21549127"/>
    <n v="73265996"/>
    <n v="65566516"/>
    <n v="27380828"/>
    <n v="92947344"/>
    <n v="78.88"/>
    <n v="78.7"/>
    <n v="78.83"/>
    <d v="2018-01-01T00:00:00"/>
    <s v="Winter"/>
  </r>
  <r>
    <n v="2018"/>
    <n v="2"/>
    <x v="0"/>
    <x v="0"/>
    <n v="54077854"/>
    <n v="7596937"/>
    <n v="61674791"/>
    <n v="64389725"/>
    <n v="600492"/>
    <n v="63466"/>
    <n v="663958"/>
    <n v="49452398"/>
    <n v="18674644"/>
    <n v="68127042"/>
    <n v="60464267"/>
    <n v="24587642"/>
    <n v="85051909"/>
    <n v="81.790000000000006"/>
    <n v="75.95"/>
    <n v="80.099999999999994"/>
    <d v="2018-02-01T00:00:00"/>
    <s v="Winter"/>
  </r>
  <r>
    <n v="2018"/>
    <n v="3"/>
    <x v="1"/>
    <x v="0"/>
    <n v="66643229"/>
    <n v="9603829"/>
    <n v="76247058"/>
    <n v="61674791"/>
    <n v="698464"/>
    <n v="74602"/>
    <n v="773066"/>
    <n v="61707206"/>
    <n v="23793520"/>
    <n v="85500726"/>
    <n v="71674598"/>
    <n v="28893311"/>
    <n v="100567909"/>
    <n v="86.09"/>
    <n v="82.35"/>
    <n v="85.02"/>
    <d v="2018-03-01T00:00:00"/>
    <s v="Spring"/>
  </r>
  <r>
    <n v="2018"/>
    <n v="4"/>
    <x v="1"/>
    <x v="0"/>
    <n v="64556900"/>
    <n v="9035586"/>
    <n v="73592486"/>
    <n v="76247058"/>
    <n v="695306"/>
    <n v="72042"/>
    <n v="767348"/>
    <n v="59340837"/>
    <n v="23106823"/>
    <n v="82447659"/>
    <n v="70357638"/>
    <n v="29055033"/>
    <n v="99412671"/>
    <n v="84.34"/>
    <n v="79.53"/>
    <n v="82.93"/>
    <d v="2018-04-01T00:00:00"/>
    <s v="Spring"/>
  </r>
  <r>
    <n v="2018"/>
    <n v="5"/>
    <x v="1"/>
    <x v="0"/>
    <n v="67844134"/>
    <n v="9416071"/>
    <n v="77260205"/>
    <n v="73592486"/>
    <n v="724065"/>
    <n v="73277"/>
    <n v="797342"/>
    <n v="62580568"/>
    <n v="25356444"/>
    <n v="87937012"/>
    <n v="73310971"/>
    <n v="31133051"/>
    <n v="104444022"/>
    <n v="85.36"/>
    <n v="81.45"/>
    <n v="84.2"/>
    <d v="2018-05-01T00:00:00"/>
    <s v="Spring"/>
  </r>
  <r>
    <n v="2018"/>
    <n v="6"/>
    <x v="2"/>
    <x v="0"/>
    <n v="70277734"/>
    <n v="10569323"/>
    <n v="80847057"/>
    <n v="77260205"/>
    <n v="732292"/>
    <n v="77394"/>
    <n v="809686"/>
    <n v="66095829"/>
    <n v="28194872"/>
    <n v="94290701"/>
    <n v="75323742"/>
    <n v="32486010"/>
    <n v="107809753"/>
    <n v="87.75"/>
    <n v="86.79"/>
    <n v="87.46"/>
    <d v="2018-06-01T00:00:00"/>
    <s v="Summer"/>
  </r>
  <r>
    <n v="2018"/>
    <n v="7"/>
    <x v="2"/>
    <x v="0"/>
    <n v="72539780"/>
    <n v="11391458"/>
    <n v="83931238"/>
    <n v="80847057"/>
    <n v="759879"/>
    <n v="81620"/>
    <n v="841499"/>
    <n v="69091745"/>
    <n v="29716690"/>
    <n v="98808435"/>
    <n v="78406927"/>
    <n v="34171666"/>
    <n v="112578593"/>
    <n v="88.12"/>
    <n v="86.96"/>
    <n v="87.77"/>
    <d v="2018-07-01T00:00:00"/>
    <s v="Summer"/>
  </r>
  <r>
    <n v="2018"/>
    <n v="8"/>
    <x v="2"/>
    <x v="0"/>
    <n v="70337936"/>
    <n v="10624720"/>
    <n v="80962656"/>
    <n v="83931238"/>
    <n v="756345"/>
    <n v="77086"/>
    <n v="833431"/>
    <n v="66132022"/>
    <n v="28638849"/>
    <n v="94770872"/>
    <n v="76722785"/>
    <n v="33238079"/>
    <n v="109960864"/>
    <n v="86.2"/>
    <n v="86.16"/>
    <n v="86.19"/>
    <d v="2018-08-01T00:00:00"/>
    <s v="Summer"/>
  </r>
  <r>
    <n v="2018"/>
    <n v="9"/>
    <x v="3"/>
    <x v="0"/>
    <n v="60468115"/>
    <n v="8208432"/>
    <n v="68676547"/>
    <n v="80962656"/>
    <n v="686422"/>
    <n v="65032"/>
    <n v="751454"/>
    <n v="55431352"/>
    <n v="23604682"/>
    <n v="79036033"/>
    <n v="68530468"/>
    <n v="29479449"/>
    <n v="98009918"/>
    <n v="80.89"/>
    <n v="80.069999999999993"/>
    <n v="80.64"/>
    <d v="2018-09-01T00:00:00"/>
    <s v="Fall"/>
  </r>
  <r>
    <n v="2018"/>
    <n v="10"/>
    <x v="3"/>
    <x v="0"/>
    <n v="67081594"/>
    <n v="8399032"/>
    <n v="75480626"/>
    <n v="68676547"/>
    <n v="722634"/>
    <n v="66557"/>
    <n v="789191"/>
    <n v="61011629"/>
    <n v="23294709"/>
    <n v="84306338"/>
    <n v="72044924"/>
    <n v="29079416"/>
    <n v="101124339"/>
    <n v="84.69"/>
    <n v="80.11"/>
    <n v="83.37"/>
    <d v="2018-10-01T00:00:00"/>
    <s v="Fall"/>
  </r>
  <r>
    <n v="2018"/>
    <n v="11"/>
    <x v="3"/>
    <x v="0"/>
    <n v="64659493"/>
    <n v="8052683"/>
    <n v="72712176"/>
    <n v="75480626"/>
    <n v="678121"/>
    <n v="64528"/>
    <n v="742649"/>
    <n v="58779361"/>
    <n v="20613643"/>
    <n v="79393004"/>
    <n v="69098147"/>
    <n v="25689087"/>
    <n v="94787234"/>
    <n v="85.07"/>
    <n v="80.239999999999995"/>
    <n v="83.76"/>
    <d v="2018-11-01T00:00:00"/>
    <s v="Fall"/>
  </r>
  <r>
    <n v="2018"/>
    <n v="12"/>
    <x v="3"/>
    <x v="0"/>
    <n v="63646119"/>
    <n v="9209221"/>
    <n v="72855340"/>
    <n v="72712176"/>
    <n v="691040"/>
    <n v="73025"/>
    <n v="764065"/>
    <n v="59477976"/>
    <n v="23210813"/>
    <n v="82688789"/>
    <n v="71865604"/>
    <n v="28476318"/>
    <n v="100341922"/>
    <n v="82.76"/>
    <n v="81.510000000000005"/>
    <n v="82.41"/>
    <d v="2018-12-01T00:00:00"/>
    <s v="Winter"/>
  </r>
  <r>
    <n v="2019"/>
    <n v="1"/>
    <x v="0"/>
    <x v="0"/>
    <n v="58033637"/>
    <n v="8956997"/>
    <n v="66990634"/>
    <n v="72855340"/>
    <n v="667538"/>
    <n v="72265"/>
    <n v="739803"/>
    <n v="54357953"/>
    <n v="22507073"/>
    <n v="76865026"/>
    <n v="68754679"/>
    <n v="28148681"/>
    <n v="96903359"/>
    <n v="79.06"/>
    <n v="79.959999999999994"/>
    <n v="79.319999999999993"/>
    <d v="2019-01-01T00:00:00"/>
    <s v="Winter"/>
  </r>
  <r>
    <n v="2019"/>
    <n v="2"/>
    <x v="0"/>
    <x v="0"/>
    <n v="55679100"/>
    <n v="7872131"/>
    <n v="63551231"/>
    <n v="66990634"/>
    <n v="607916"/>
    <n v="65171"/>
    <n v="673087"/>
    <n v="51406118"/>
    <n v="19291164"/>
    <n v="70697283"/>
    <n v="62805310"/>
    <n v="25032799"/>
    <n v="87838108"/>
    <n v="81.849999999999994"/>
    <n v="77.06"/>
    <n v="80.489999999999995"/>
    <d v="2019-02-01T00:00:00"/>
    <s v="Winter"/>
  </r>
  <r>
    <n v="2019"/>
    <n v="3"/>
    <x v="1"/>
    <x v="0"/>
    <n v="70233456"/>
    <n v="9948135"/>
    <n v="80181591"/>
    <n v="63551231"/>
    <n v="729115"/>
    <n v="77118"/>
    <n v="806233"/>
    <n v="65407750"/>
    <n v="24488323"/>
    <n v="89896073"/>
    <n v="75651233"/>
    <n v="29501782"/>
    <n v="105153015"/>
    <n v="86.46"/>
    <n v="83.01"/>
    <n v="85.49"/>
    <d v="2019-03-01T00:00:00"/>
    <s v="Spring"/>
  </r>
  <r>
    <n v="2019"/>
    <n v="4"/>
    <x v="1"/>
    <x v="0"/>
    <n v="66938177"/>
    <n v="9461086"/>
    <n v="76399263"/>
    <n v="80181591"/>
    <n v="708988"/>
    <n v="72813"/>
    <n v="781801"/>
    <n v="61953253"/>
    <n v="24174894"/>
    <n v="86128147"/>
    <n v="72335243"/>
    <n v="29424979"/>
    <n v="101760222"/>
    <n v="85.65"/>
    <n v="82.16"/>
    <n v="84.64"/>
    <d v="2019-04-01T00:00:00"/>
    <s v="Spring"/>
  </r>
  <r>
    <n v="2019"/>
    <n v="5"/>
    <x v="1"/>
    <x v="0"/>
    <n v="71363514"/>
    <n v="9952955"/>
    <n v="81316469"/>
    <n v="76399263"/>
    <n v="740482"/>
    <n v="74788"/>
    <n v="815270"/>
    <n v="65811129"/>
    <n v="26667148"/>
    <n v="92478276"/>
    <n v="75386003"/>
    <n v="31953392"/>
    <n v="107339395"/>
    <n v="87.3"/>
    <n v="83.46"/>
    <n v="86.16"/>
    <d v="2019-05-01T00:00:00"/>
    <s v="Spring"/>
  </r>
  <r>
    <n v="2019"/>
    <n v="6"/>
    <x v="2"/>
    <x v="0"/>
    <n v="72789897"/>
    <n v="11018680"/>
    <n v="83808577"/>
    <n v="81316469"/>
    <n v="741462"/>
    <n v="79201"/>
    <n v="820663"/>
    <n v="68413114"/>
    <n v="29322269"/>
    <n v="97735383"/>
    <n v="76617119"/>
    <n v="33392864"/>
    <n v="110009983"/>
    <n v="89.29"/>
    <n v="87.81"/>
    <n v="88.84"/>
    <d v="2019-06-01T00:00:00"/>
    <s v="Summer"/>
  </r>
  <r>
    <n v="2019"/>
    <n v="7"/>
    <x v="2"/>
    <x v="0"/>
    <n v="75281255"/>
    <n v="11644596"/>
    <n v="86925851"/>
    <n v="83808577"/>
    <n v="768645"/>
    <n v="82681"/>
    <n v="851326"/>
    <n v="71276327"/>
    <n v="30447264"/>
    <n v="101723592"/>
    <n v="80081319"/>
    <n v="34751863"/>
    <n v="114833182"/>
    <n v="89"/>
    <n v="87.61"/>
    <n v="88.58"/>
    <d v="2019-07-01T00:00:00"/>
    <s v="Summer"/>
  </r>
  <r>
    <n v="2019"/>
    <n v="8"/>
    <x v="2"/>
    <x v="0"/>
    <n v="72715566"/>
    <n v="11035622"/>
    <n v="83751188"/>
    <n v="86925851"/>
    <n v="769675"/>
    <n v="78975"/>
    <n v="848650"/>
    <n v="68147755"/>
    <n v="29802655"/>
    <n v="97950411"/>
    <n v="78976519"/>
    <n v="34056646"/>
    <n v="113033164"/>
    <n v="86.29"/>
    <n v="87.51"/>
    <n v="86.66"/>
    <d v="2019-08-01T00:00:00"/>
    <s v="Summer"/>
  </r>
  <r>
    <n v="2019"/>
    <n v="9"/>
    <x v="3"/>
    <x v="0"/>
    <n v="63979337"/>
    <n v="8589987"/>
    <n v="72569324"/>
    <n v="83751188"/>
    <n v="705071"/>
    <n v="64280"/>
    <n v="769351"/>
    <n v="58213654"/>
    <n v="25083576"/>
    <n v="83297229"/>
    <n v="70649463"/>
    <n v="30372637"/>
    <n v="101022100"/>
    <n v="82.4"/>
    <n v="82.59"/>
    <n v="82.45"/>
    <d v="2019-09-01T00:00:00"/>
    <s v="Fall"/>
  </r>
  <r>
    <n v="2019"/>
    <n v="10"/>
    <x v="3"/>
    <x v="0"/>
    <n v="69922300"/>
    <n v="8678300"/>
    <n v="78600600"/>
    <n v="72569324"/>
    <n v="740181"/>
    <n v="65807"/>
    <n v="805988"/>
    <n v="63323849"/>
    <n v="24290255"/>
    <n v="87614104"/>
    <n v="74904303"/>
    <n v="29477943"/>
    <n v="104382246"/>
    <n v="84.54"/>
    <n v="82.4"/>
    <n v="83.94"/>
    <d v="2019-10-01T00:00:00"/>
    <s v="Fall"/>
  </r>
  <r>
    <n v="2019"/>
    <n v="11"/>
    <x v="3"/>
    <x v="0"/>
    <n v="64816897"/>
    <n v="8240630"/>
    <n v="73057527"/>
    <n v="78600600"/>
    <n v="694377"/>
    <n v="64025"/>
    <n v="758402"/>
    <n v="59158778"/>
    <n v="21330058"/>
    <n v="80488836"/>
    <n v="72118560"/>
    <n v="26346567"/>
    <n v="98465127"/>
    <n v="82.03"/>
    <n v="80.959999999999994"/>
    <n v="81.739999999999995"/>
    <d v="2019-11-01T00:00:00"/>
    <s v="Fall"/>
  </r>
  <r>
    <n v="2019"/>
    <n v="12"/>
    <x v="3"/>
    <x v="0"/>
    <n v="69718631"/>
    <n v="9566028"/>
    <n v="79284659"/>
    <n v="73057527"/>
    <n v="721420"/>
    <n v="71724"/>
    <n v="793144"/>
    <n v="65288156"/>
    <n v="24636021"/>
    <n v="89924177"/>
    <n v="76153730"/>
    <n v="29139144"/>
    <n v="105292875"/>
    <n v="85.73"/>
    <n v="84.55"/>
    <n v="85.4"/>
    <d v="2019-12-01T00:00:00"/>
    <s v="Winter"/>
  </r>
  <r>
    <n v="2020"/>
    <n v="1"/>
    <x v="0"/>
    <x v="0"/>
    <n v="61622947"/>
    <n v="9144821"/>
    <n v="70767768"/>
    <n v="79284659"/>
    <n v="700493"/>
    <n v="70035"/>
    <n v="770528"/>
    <n v="57629920"/>
    <n v="23378976"/>
    <n v="81008896"/>
    <n v="72425565"/>
    <n v="28723812"/>
    <n v="101149378"/>
    <n v="79.569999999999993"/>
    <n v="81.39"/>
    <n v="80.09"/>
    <d v="2020-01-01T00:00:00"/>
    <s v="Winter"/>
  </r>
  <r>
    <n v="2020"/>
    <n v="2"/>
    <x v="0"/>
    <x v="0"/>
    <n v="59868112"/>
    <n v="7945094"/>
    <n v="67813206"/>
    <n v="70767768"/>
    <n v="660344"/>
    <n v="64414"/>
    <n v="724758"/>
    <n v="55336120"/>
    <n v="18527485"/>
    <n v="73863606"/>
    <n v="68495012"/>
    <n v="24319113"/>
    <n v="92814125"/>
    <n v="80.790000000000006"/>
    <n v="76.180000000000007"/>
    <n v="79.58"/>
    <d v="2020-02-01T00:00:00"/>
    <s v="Winter"/>
  </r>
  <r>
    <n v="2020"/>
    <n v="3"/>
    <x v="1"/>
    <x v="0"/>
    <n v="34413597"/>
    <n v="4645178"/>
    <n v="39058775"/>
    <n v="67813206"/>
    <n v="616136"/>
    <n v="51108"/>
    <n v="667244"/>
    <n v="32526486"/>
    <n v="10229609"/>
    <n v="42756095"/>
    <n v="64968387"/>
    <n v="17530264"/>
    <n v="82498651"/>
    <n v="50.07"/>
    <n v="58.35"/>
    <n v="51.83"/>
    <d v="2020-03-01T00:00:00"/>
    <s v="Spring"/>
  </r>
  <r>
    <n v="2020"/>
    <n v="4"/>
    <x v="1"/>
    <x v="0"/>
    <n v="2877290"/>
    <n v="136609"/>
    <n v="3013899"/>
    <n v="39058775"/>
    <n v="217262"/>
    <n v="5018"/>
    <n v="222280"/>
    <n v="2551127"/>
    <n v="356762"/>
    <n v="2907889"/>
    <n v="19489079"/>
    <n v="1541419"/>
    <n v="21030499"/>
    <n v="13.09"/>
    <n v="23.15"/>
    <n v="13.83"/>
    <d v="2020-04-01T00:00:00"/>
    <s v="Spring"/>
  </r>
  <r>
    <n v="2020"/>
    <n v="5"/>
    <x v="1"/>
    <x v="0"/>
    <n v="9697400"/>
    <n v="190629"/>
    <n v="9888029"/>
    <n v="3013899"/>
    <n v="252450"/>
    <n v="4996"/>
    <n v="257446"/>
    <n v="8117835"/>
    <n v="479069"/>
    <n v="8596904"/>
    <n v="22120037"/>
    <n v="1746343"/>
    <n v="23866380"/>
    <n v="36.700000000000003"/>
    <n v="27.43"/>
    <n v="36.020000000000003"/>
    <d v="2020-05-01T00:00:00"/>
    <s v="Spring"/>
  </r>
  <r>
    <n v="2020"/>
    <n v="6"/>
    <x v="2"/>
    <x v="0"/>
    <n v="16207290"/>
    <n v="403702"/>
    <n v="16610992"/>
    <n v="9888029"/>
    <n v="273036"/>
    <n v="7220"/>
    <n v="280256"/>
    <n v="14007580"/>
    <n v="896609"/>
    <n v="14904189"/>
    <n v="24940429"/>
    <n v="2580911"/>
    <n v="27521340"/>
    <n v="56.16"/>
    <n v="34.74"/>
    <n v="54.16"/>
    <d v="2020-06-01T00:00:00"/>
    <s v="Summer"/>
  </r>
  <r>
    <n v="2020"/>
    <n v="7"/>
    <x v="2"/>
    <x v="0"/>
    <n v="22921780"/>
    <n v="1132104"/>
    <n v="24053884"/>
    <n v="16610992"/>
    <n v="411226"/>
    <n v="16692"/>
    <n v="427918"/>
    <n v="20075947"/>
    <n v="1982897"/>
    <n v="22058844"/>
    <n v="40313242"/>
    <n v="5480689"/>
    <n v="45793931"/>
    <n v="49.8"/>
    <n v="36.18"/>
    <n v="48.17"/>
    <d v="2020-07-01T00:00:00"/>
    <s v="Summer"/>
  </r>
  <r>
    <n v="2020"/>
    <n v="8"/>
    <x v="2"/>
    <x v="0"/>
    <n v="24431273"/>
    <n v="1399827"/>
    <n v="25831100"/>
    <n v="24053884"/>
    <n v="441615"/>
    <n v="18295"/>
    <n v="459910"/>
    <n v="21184550"/>
    <n v="2629514"/>
    <n v="23814064"/>
    <n v="42874103"/>
    <n v="7105839"/>
    <n v="49979942"/>
    <n v="49.41"/>
    <n v="37"/>
    <n v="47.65"/>
    <d v="2020-08-01T00:00:00"/>
    <s v="Summer"/>
  </r>
  <r>
    <n v="2020"/>
    <n v="9"/>
    <x v="3"/>
    <x v="0"/>
    <n v="23854440"/>
    <n v="1413585"/>
    <n v="25268025"/>
    <n v="25831100"/>
    <n v="379506"/>
    <n v="18285"/>
    <n v="397791"/>
    <n v="20474546"/>
    <n v="2589214"/>
    <n v="23063760"/>
    <n v="35882006"/>
    <n v="7283900"/>
    <n v="43165905"/>
    <n v="57.06"/>
    <n v="35.549999999999997"/>
    <n v="53.43"/>
    <d v="2020-09-01T00:00:00"/>
    <s v="Fall"/>
  </r>
  <r>
    <n v="2020"/>
    <n v="10"/>
    <x v="3"/>
    <x v="0"/>
    <n v="28026570"/>
    <n v="1982866"/>
    <n v="30009436"/>
    <n v="25268025"/>
    <n v="410189"/>
    <n v="23724"/>
    <n v="433913"/>
    <n v="24425708"/>
    <n v="3433101"/>
    <n v="27858809"/>
    <n v="40389923"/>
    <n v="8881698"/>
    <n v="49271621"/>
    <n v="60.47"/>
    <n v="38.65"/>
    <n v="56.54"/>
    <d v="2020-10-01T00:00:00"/>
    <s v="Fall"/>
  </r>
  <r>
    <n v="2020"/>
    <n v="11"/>
    <x v="3"/>
    <x v="0"/>
    <n v="26293959"/>
    <n v="2463575"/>
    <n v="28757534"/>
    <n v="30009436"/>
    <n v="421049"/>
    <n v="29652"/>
    <n v="450701"/>
    <n v="23711619"/>
    <n v="4238353"/>
    <n v="27949973"/>
    <n v="43474919"/>
    <n v="10199590"/>
    <n v="53674509"/>
    <n v="54.54"/>
    <n v="41.55"/>
    <n v="52.07"/>
    <d v="2020-11-01T00:00:00"/>
    <s v="Fall"/>
  </r>
  <r>
    <n v="2020"/>
    <n v="12"/>
    <x v="3"/>
    <x v="0"/>
    <n v="27263462"/>
    <n v="3269403"/>
    <n v="30532865"/>
    <n v="28757534"/>
    <n v="428768"/>
    <n v="38852"/>
    <n v="467620"/>
    <n v="25075790"/>
    <n v="5750942"/>
    <n v="30826732"/>
    <n v="45077321"/>
    <n v="12309781"/>
    <n v="57387103"/>
    <n v="55.63"/>
    <n v="46.72"/>
    <n v="53.72"/>
    <d v="2020-12-01T00:00:00"/>
    <s v="Winter"/>
  </r>
  <r>
    <n v="2021"/>
    <n v="1"/>
    <x v="0"/>
    <x v="0"/>
    <n v="24305435"/>
    <n v="2986261"/>
    <n v="27291696"/>
    <n v="30532865"/>
    <n v="408807"/>
    <n v="40455"/>
    <n v="449262"/>
    <n v="22357664"/>
    <n v="5434809"/>
    <n v="27792473"/>
    <n v="42318242"/>
    <n v="12923703"/>
    <n v="55241945"/>
    <n v="52.83"/>
    <n v="42.05"/>
    <n v="50.31"/>
    <d v="2021-01-01T00:00:00"/>
    <s v="Winter"/>
  </r>
  <r>
    <n v="2021"/>
    <n v="2"/>
    <x v="0"/>
    <x v="0"/>
    <n v="24483154"/>
    <n v="2121336"/>
    <n v="26604490"/>
    <n v="27291696"/>
    <n v="361687"/>
    <n v="34903"/>
    <n v="396590"/>
    <n v="22477682"/>
    <n v="3840749"/>
    <n v="26318431"/>
    <n v="37928419"/>
    <n v="10965754"/>
    <n v="48894173"/>
    <n v="59.26"/>
    <n v="35.020000000000003"/>
    <n v="53.83"/>
    <d v="2021-02-01T00:00:00"/>
    <s v="Winter"/>
  </r>
  <r>
    <n v="2021"/>
    <n v="3"/>
    <x v="1"/>
    <x v="0"/>
    <n v="39342855"/>
    <n v="3453943"/>
    <n v="42796798"/>
    <n v="26604490"/>
    <n v="499359"/>
    <n v="42273"/>
    <n v="541632"/>
    <n v="36811555"/>
    <n v="5867011"/>
    <n v="42678566"/>
    <n v="53749326"/>
    <n v="13510189"/>
    <n v="67259515"/>
    <n v="68.489999999999995"/>
    <n v="43.43"/>
    <n v="63.45"/>
    <d v="2021-03-01T00:00:00"/>
    <s v="Spring"/>
  </r>
  <r>
    <n v="2021"/>
    <n v="4"/>
    <x v="1"/>
    <x v="0"/>
    <n v="43798512"/>
    <n v="3998149"/>
    <n v="47796661"/>
    <n v="42796798"/>
    <n v="514268"/>
    <n v="40981"/>
    <n v="555249"/>
    <n v="40971446"/>
    <n v="6667109"/>
    <n v="47638554"/>
    <n v="54787593"/>
    <n v="14129131"/>
    <n v="68916725"/>
    <n v="74.78"/>
    <n v="47.19"/>
    <n v="69.12"/>
    <d v="2021-04-01T00:00:00"/>
    <s v="Spring"/>
  </r>
  <r>
    <n v="2021"/>
    <n v="5"/>
    <x v="1"/>
    <x v="0"/>
    <n v="52751776"/>
    <n v="4941591"/>
    <n v="57693367"/>
    <n v="47796661"/>
    <n v="565788"/>
    <n v="44613"/>
    <n v="610401"/>
    <n v="49648995"/>
    <n v="8165943"/>
    <n v="57814938"/>
    <n v="61332631"/>
    <n v="15385728"/>
    <n v="76718359"/>
    <n v="80.95"/>
    <n v="53.07"/>
    <n v="75.36"/>
    <d v="2021-05-01T00:00:00"/>
    <s v="Spring"/>
  </r>
  <r>
    <n v="2021"/>
    <n v="6"/>
    <x v="2"/>
    <x v="0"/>
    <n v="60109293"/>
    <n v="6035931"/>
    <n v="66145224"/>
    <n v="57693367"/>
    <n v="617735"/>
    <n v="48831"/>
    <n v="666566"/>
    <n v="57717786"/>
    <n v="10815231"/>
    <n v="68533017"/>
    <n v="67462113"/>
    <n v="17097559"/>
    <n v="84559672"/>
    <n v="85.56"/>
    <n v="63.26"/>
    <n v="81.05"/>
    <d v="2021-06-01T00:00:00"/>
    <s v="Summer"/>
  </r>
  <r>
    <n v="2021"/>
    <n v="7"/>
    <x v="2"/>
    <x v="0"/>
    <n v="66739409"/>
    <n v="7033399"/>
    <n v="73772808"/>
    <n v="66145224"/>
    <n v="664437"/>
    <n v="52663"/>
    <n v="717100"/>
    <n v="64545073"/>
    <n v="13494801"/>
    <n v="78039874"/>
    <n v="73407768"/>
    <n v="19144100"/>
    <n v="92551868"/>
    <n v="87.93"/>
    <n v="70.489999999999995"/>
    <n v="84.32"/>
    <d v="2021-07-01T00:00:00"/>
    <s v="Summer"/>
  </r>
  <r>
    <n v="2021"/>
    <n v="8"/>
    <x v="2"/>
    <x v="0"/>
    <n v="60630994"/>
    <n v="6357070"/>
    <n v="66988064"/>
    <n v="73772808"/>
    <n v="662000"/>
    <n v="50664"/>
    <n v="712664"/>
    <n v="58416638"/>
    <n v="13314028"/>
    <n v="71730666"/>
    <n v="71871421"/>
    <n v="19302668"/>
    <n v="91174089"/>
    <n v="81.28"/>
    <n v="68.98"/>
    <n v="78.67"/>
    <d v="2021-08-01T00:00:00"/>
    <s v="Summer"/>
  </r>
  <r>
    <n v="2021"/>
    <n v="9"/>
    <x v="3"/>
    <x v="0"/>
    <n v="53902837"/>
    <n v="4843245"/>
    <n v="58746082"/>
    <n v="66988064"/>
    <n v="610284"/>
    <n v="43758"/>
    <n v="654042"/>
    <n v="50123961"/>
    <n v="10421281"/>
    <n v="60545242"/>
    <n v="66268767"/>
    <n v="17668823"/>
    <n v="83937590"/>
    <n v="75.64"/>
    <n v="58.98"/>
    <n v="72.13"/>
    <d v="2021-09-01T00:00:00"/>
    <s v="Fall"/>
  </r>
  <r>
    <n v="2021"/>
    <n v="10"/>
    <x v="3"/>
    <x v="0"/>
    <n v="60546348"/>
    <n v="5360481"/>
    <n v="65906829"/>
    <n v="58746082"/>
    <n v="630240"/>
    <n v="47139"/>
    <n v="677379"/>
    <n v="55934187"/>
    <n v="10985232"/>
    <n v="66919419"/>
    <n v="69064940"/>
    <n v="18107013"/>
    <n v="87171954"/>
    <n v="80.989999999999995"/>
    <n v="60.67"/>
    <n v="76.77"/>
    <d v="2021-10-01T00:00:00"/>
    <s v="Fall"/>
  </r>
  <r>
    <n v="2021"/>
    <n v="11"/>
    <x v="3"/>
    <x v="0"/>
    <n v="59779045"/>
    <n v="5998703"/>
    <n v="65777748"/>
    <n v="65906829"/>
    <n v="617806"/>
    <n v="50706"/>
    <n v="668512"/>
    <n v="55742346"/>
    <n v="12199554"/>
    <n v="67941900"/>
    <n v="68469320"/>
    <n v="17676220"/>
    <n v="86145540"/>
    <n v="81.41"/>
    <n v="69.02"/>
    <n v="78.87"/>
    <d v="2021-11-01T00:00:00"/>
    <s v="Fall"/>
  </r>
  <r>
    <n v="2021"/>
    <n v="12"/>
    <x v="3"/>
    <x v="0"/>
    <n v="59534619"/>
    <n v="7093846"/>
    <n v="66628465"/>
    <n v="65777748"/>
    <n v="605976"/>
    <n v="59710"/>
    <n v="665686"/>
    <n v="57091558"/>
    <n v="14779224"/>
    <n v="71870782"/>
    <n v="69447090"/>
    <n v="20677611"/>
    <n v="90124701"/>
    <n v="82.21"/>
    <n v="71.47"/>
    <n v="79.75"/>
    <d v="2021-12-01T00:00:00"/>
    <s v="Winter"/>
  </r>
  <r>
    <n v="2022"/>
    <n v="1"/>
    <x v="0"/>
    <x v="0"/>
    <n v="45814139"/>
    <n v="6048973"/>
    <n v="51863112"/>
    <n v="66628465"/>
    <n v="569018"/>
    <n v="59036"/>
    <n v="628054"/>
    <n v="43954958"/>
    <n v="12498379"/>
    <n v="56453337"/>
    <n v="64319112"/>
    <n v="20881798"/>
    <n v="85200910"/>
    <n v="68.34"/>
    <n v="59.85"/>
    <n v="66.260000000000005"/>
    <d v="2022-01-01T00:00:00"/>
    <s v="Winter"/>
  </r>
  <r>
    <n v="2022"/>
    <n v="2"/>
    <x v="0"/>
    <x v="0"/>
    <n v="49075979"/>
    <n v="5725939"/>
    <n v="54801918"/>
    <n v="51863112"/>
    <n v="533962"/>
    <n v="52667"/>
    <n v="586629"/>
    <n v="46520073"/>
    <n v="11512744"/>
    <n v="58032817"/>
    <n v="60647305"/>
    <n v="18500799"/>
    <n v="79148105"/>
    <n v="76.709999999999994"/>
    <n v="62.23"/>
    <n v="73.319999999999993"/>
    <d v="2022-02-01T00:00:00"/>
    <s v="Winter"/>
  </r>
  <r>
    <n v="2022"/>
    <n v="3"/>
    <x v="1"/>
    <x v="0"/>
    <n v="64617029"/>
    <n v="7872874"/>
    <n v="72489903"/>
    <n v="54801918"/>
    <n v="629670"/>
    <n v="62309"/>
    <n v="691979"/>
    <n v="61674886"/>
    <n v="16212974"/>
    <n v="77887859"/>
    <n v="71989974"/>
    <n v="22030861"/>
    <n v="94020835"/>
    <n v="85.67"/>
    <n v="73.59"/>
    <n v="82.84"/>
    <d v="2022-03-01T00:00:00"/>
    <s v="Spring"/>
  </r>
  <r>
    <n v="2022"/>
    <n v="4"/>
    <x v="1"/>
    <x v="0"/>
    <n v="63518318"/>
    <n v="8398121"/>
    <n v="71916439"/>
    <n v="72489903"/>
    <n v="616135"/>
    <n v="63462"/>
    <n v="679597"/>
    <n v="60270759"/>
    <n v="18529341"/>
    <n v="78800100"/>
    <n v="68700144"/>
    <n v="23743871"/>
    <n v="92444015"/>
    <n v="87.73"/>
    <n v="78.040000000000006"/>
    <n v="85.24"/>
    <d v="2022-04-01T00:00:00"/>
    <s v="Spring"/>
  </r>
  <r>
    <n v="2022"/>
    <n v="5"/>
    <x v="1"/>
    <x v="0"/>
    <n v="66961805"/>
    <n v="8815732"/>
    <n v="75777537"/>
    <n v="71916439"/>
    <n v="644024"/>
    <n v="65674"/>
    <n v="709698"/>
    <n v="62706846"/>
    <n v="20788694"/>
    <n v="83495540"/>
    <n v="70974153"/>
    <n v="26263661"/>
    <n v="97237814"/>
    <n v="88.35"/>
    <n v="79.150000000000006"/>
    <n v="85.87"/>
    <d v="2022-05-01T00:00:00"/>
    <s v="Spring"/>
  </r>
  <r>
    <n v="2022"/>
    <n v="6"/>
    <x v="2"/>
    <x v="0"/>
    <n v="67368670"/>
    <n v="10023468"/>
    <n v="77392138"/>
    <n v="75777537"/>
    <n v="640218"/>
    <n v="67900"/>
    <n v="708118"/>
    <n v="63343854"/>
    <n v="24276114"/>
    <n v="87619968"/>
    <n v="70415408"/>
    <n v="27883747"/>
    <n v="98299154"/>
    <n v="89.96"/>
    <n v="87.06"/>
    <n v="89.14"/>
    <d v="2022-06-01T00:00:00"/>
    <s v="Summer"/>
  </r>
  <r>
    <n v="2022"/>
    <n v="7"/>
    <x v="2"/>
    <x v="0"/>
    <n v="69432042"/>
    <n v="10943155"/>
    <n v="80375197"/>
    <n v="77392138"/>
    <n v="667889"/>
    <n v="71229"/>
    <n v="739118"/>
    <n v="65633746"/>
    <n v="26440533"/>
    <n v="92074279"/>
    <n v="74959377"/>
    <n v="29660776"/>
    <n v="104620153"/>
    <n v="87.56"/>
    <n v="89.14"/>
    <n v="88.01"/>
    <d v="2022-07-01T00:00:00"/>
    <s v="Summer"/>
  </r>
  <r>
    <n v="2022"/>
    <n v="8"/>
    <x v="2"/>
    <x v="0"/>
    <n v="66520067"/>
    <n v="10115929"/>
    <n v="76635996"/>
    <n v="80375197"/>
    <n v="657576"/>
    <n v="68544"/>
    <n v="726120"/>
    <n v="62934639"/>
    <n v="24979841"/>
    <n v="87914480"/>
    <n v="73836109"/>
    <n v="29246437"/>
    <n v="103082546"/>
    <n v="85.24"/>
    <n v="85.41"/>
    <n v="85.29"/>
    <d v="2022-08-01T00:00:00"/>
    <s v="Summer"/>
  </r>
  <r>
    <n v="2022"/>
    <n v="9"/>
    <x v="3"/>
    <x v="0"/>
    <n v="63139630"/>
    <n v="8287331"/>
    <n v="71426961"/>
    <n v="76635996"/>
    <n v="622299"/>
    <n v="57089"/>
    <n v="679388"/>
    <n v="58463970"/>
    <n v="21860088"/>
    <n v="80324058"/>
    <n v="68920247"/>
    <n v="26063870"/>
    <n v="94984116"/>
    <n v="84.83"/>
    <n v="83.87"/>
    <n v="84.57"/>
    <d v="2022-09-01T00:00:00"/>
    <s v="Fall"/>
  </r>
  <r>
    <n v="2022"/>
    <n v="10"/>
    <x v="3"/>
    <x v="0"/>
    <n v="67935181"/>
    <n v="8414518"/>
    <n v="76349699"/>
    <n v="71426961"/>
    <n v="639282"/>
    <n v="57765"/>
    <n v="697047"/>
    <n v="62656863"/>
    <n v="21457977"/>
    <n v="84114840"/>
    <n v="72264313"/>
    <n v="25834667"/>
    <n v="98098981"/>
    <n v="86.71"/>
    <n v="83.06"/>
    <n v="85.74"/>
    <d v="2022-10-01T00:00:00"/>
    <s v="Fall"/>
  </r>
  <r>
    <n v="2022"/>
    <n v="11"/>
    <x v="3"/>
    <x v="0"/>
    <n v="63680032"/>
    <n v="8216914"/>
    <n v="71896946"/>
    <n v="76349699"/>
    <n v="605075"/>
    <n v="59745"/>
    <n v="664820"/>
    <n v="59194297"/>
    <n v="19692450"/>
    <n v="78886747"/>
    <n v="70250775"/>
    <n v="24616723"/>
    <n v="94867498"/>
    <n v="84.26"/>
    <n v="80"/>
    <n v="83.15"/>
    <d v="2022-11-01T00:00:00"/>
    <s v="Fall"/>
  </r>
  <r>
    <n v="2022"/>
    <n v="12"/>
    <x v="3"/>
    <x v="0"/>
    <n v="62482296"/>
    <n v="9405384"/>
    <n v="71887680"/>
    <n v="71896946"/>
    <n v="596437"/>
    <n v="67511"/>
    <n v="663948"/>
    <n v="59724506"/>
    <n v="22595815"/>
    <n v="82320321"/>
    <n v="71301260"/>
    <n v="27343999"/>
    <n v="98645259"/>
    <n v="83.76"/>
    <n v="82.64"/>
    <n v="83.45"/>
    <d v="2022-12-01T00:00:00"/>
    <s v="Winter"/>
  </r>
  <r>
    <n v="2023"/>
    <n v="1"/>
    <x v="0"/>
    <x v="0"/>
    <n v="58284200"/>
    <n v="9066833"/>
    <n v="67351033"/>
    <n v="71887680"/>
    <n v="605944"/>
    <n v="66859"/>
    <n v="672803"/>
    <n v="55627743"/>
    <n v="21021245"/>
    <n v="76648988"/>
    <n v="72122699"/>
    <n v="26809510"/>
    <n v="98932209"/>
    <n v="77.13"/>
    <n v="78.41"/>
    <n v="77.48"/>
    <d v="2023-01-01T00:00:00"/>
    <s v="Winter"/>
  </r>
  <r>
    <n v="2023"/>
    <n v="2"/>
    <x v="0"/>
    <x v="0"/>
    <n v="56729998"/>
    <n v="8066893"/>
    <n v="64796891"/>
    <n v="67351033"/>
    <n v="567702"/>
    <n v="60643"/>
    <n v="628345"/>
    <n v="53329402"/>
    <n v="18254936"/>
    <n v="71584338"/>
    <n v="67037368"/>
    <n v="24211736"/>
    <n v="91249104"/>
    <n v="79.55"/>
    <n v="75.400000000000006"/>
    <n v="78.45"/>
    <d v="2023-02-01T00:00:00"/>
    <s v="Winter"/>
  </r>
  <r>
    <n v="2023"/>
    <n v="3"/>
    <x v="1"/>
    <x v="0"/>
    <n v="69708556"/>
    <n v="10094584"/>
    <n v="79803140"/>
    <n v="64796891"/>
    <n v="655836"/>
    <n v="71076"/>
    <n v="726912"/>
    <n v="65767207"/>
    <n v="23802743"/>
    <n v="89569950"/>
    <n v="78074142"/>
    <n v="28689319"/>
    <n v="106763461"/>
    <n v="84.24"/>
    <n v="82.97"/>
    <n v="83.9"/>
    <d v="2023-03-01T00:00:00"/>
    <s v="Spring"/>
  </r>
  <r>
    <n v="2023"/>
    <n v="4"/>
    <x v="1"/>
    <x v="0"/>
    <n v="67571574"/>
    <n v="10008645"/>
    <n v="77580219"/>
    <n v="79803140"/>
    <n v="636160"/>
    <n v="70078"/>
    <n v="706238"/>
    <n v="63426143"/>
    <n v="24708597"/>
    <n v="88134739"/>
    <n v="74335449"/>
    <n v="29988666"/>
    <n v="104324115"/>
    <n v="85.32"/>
    <n v="82.39"/>
    <n v="84.48"/>
    <d v="2023-04-01T00:00:00"/>
    <s v="Spring"/>
  </r>
  <r>
    <n v="2023"/>
    <n v="5"/>
    <x v="1"/>
    <x v="0"/>
    <n v="71423653"/>
    <n v="10358666"/>
    <n v="81782319"/>
    <n v="77580219"/>
    <n v="667331"/>
    <n v="71924"/>
    <n v="739255"/>
    <n v="66743565"/>
    <n v="26805432"/>
    <n v="93548998"/>
    <n v="77821407"/>
    <n v="31950687"/>
    <n v="109772094"/>
    <n v="85.77"/>
    <n v="83.9"/>
    <n v="85.22"/>
    <d v="2023-05-01T00:00:00"/>
    <s v="Spring"/>
  </r>
  <r>
    <n v="2023"/>
    <n v="6"/>
    <x v="2"/>
    <x v="0"/>
    <n v="72482621"/>
    <n v="11544505"/>
    <n v="84027126"/>
    <n v="81782319"/>
    <n v="661293"/>
    <n v="75279"/>
    <n v="736572"/>
    <n v="68789127"/>
    <n v="29883465"/>
    <n v="98672591"/>
    <n v="78058358"/>
    <n v="33410671"/>
    <n v="111469028"/>
    <n v="88.13"/>
    <n v="89.44"/>
    <n v="88.52"/>
    <d v="2023-06-01T00:00:00"/>
    <s v="Summer"/>
  </r>
  <r>
    <n v="2023"/>
    <n v="7"/>
    <x v="2"/>
    <x v="0"/>
    <n v="75378157"/>
    <n v="12432615"/>
    <n v="87810772"/>
    <n v="84027126"/>
    <n v="684939"/>
    <n v="79738"/>
    <n v="764677"/>
    <n v="72267904"/>
    <n v="31376000"/>
    <n v="103643904"/>
    <n v="81986010"/>
    <n v="35326191"/>
    <n v="117312202"/>
    <n v="88.15"/>
    <n v="88.82"/>
    <n v="88.35"/>
    <d v="2023-07-01T00:00:00"/>
    <s v="Summer"/>
  </r>
  <r>
    <n v="2023"/>
    <n v="8"/>
    <x v="2"/>
    <x v="0"/>
    <n v="71477988"/>
    <n v="11572149"/>
    <n v="83050137"/>
    <n v="87810772"/>
    <n v="691482"/>
    <n v="77137"/>
    <n v="768619"/>
    <n v="67933484"/>
    <n v="29938507"/>
    <n v="97871992"/>
    <n v="81997399"/>
    <n v="34908793"/>
    <n v="116906192"/>
    <n v="82.85"/>
    <n v="85.76"/>
    <n v="83.72"/>
    <d v="2023-08-01T00:00:00"/>
    <s v="Summer"/>
  </r>
  <r>
    <n v="2023"/>
    <n v="9"/>
    <x v="3"/>
    <x v="0"/>
    <n v="66858490"/>
    <n v="9392985"/>
    <n v="76251475"/>
    <n v="83050137"/>
    <n v="649308"/>
    <n v="64241"/>
    <n v="713549"/>
    <n v="61777546"/>
    <n v="26076318"/>
    <n v="87853864"/>
    <n v="75748336"/>
    <n v="31231710"/>
    <n v="106980046"/>
    <n v="81.56"/>
    <n v="83.49"/>
    <n v="82.12"/>
    <d v="2023-09-01T00:00:00"/>
    <s v="Fal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B9CE32-4EC9-45C9-ABBE-147CCF4F917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2">
    <pivotField showAll="0"/>
    <pivotField showAll="0"/>
    <pivotField axis="axisRow" showAll="0">
      <items count="5">
        <item x="3"/>
        <item x="1"/>
        <item x="2"/>
        <item x="0"/>
        <item t="default"/>
      </items>
    </pivotField>
    <pivotField dataField="1" showAll="0">
      <items count="2">
        <item x="0"/>
        <item t="default"/>
      </items>
    </pivotField>
    <pivotField numFmtId="2"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 showAll="0"/>
    <pivotField numFmtId="14" showAll="0"/>
    <pivotField showAll="0"/>
  </pivotFields>
  <rowFields count="1">
    <field x="2"/>
  </rowFields>
  <rowItems count="5">
    <i>
      <x/>
    </i>
    <i>
      <x v="1"/>
    </i>
    <i>
      <x v="2"/>
    </i>
    <i>
      <x v="3"/>
    </i>
    <i t="grand">
      <x/>
    </i>
  </rowItems>
  <colItems count="1">
    <i/>
  </colItems>
  <dataFields count="1">
    <dataField name="Count of High_Traffic" fld="3" subtotal="count" baseField="2"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ADD0EB-C7EA-478F-BC7F-B690BEA48A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20">
    <pivotField showAll="0"/>
    <pivotField axis="axisRow" showAll="0">
      <items count="13">
        <item x="0"/>
        <item x="1"/>
        <item x="2"/>
        <item x="3"/>
        <item x="4"/>
        <item x="5"/>
        <item x="6"/>
        <item x="7"/>
        <item x="8"/>
        <item x="9"/>
        <item x="10"/>
        <item x="11"/>
        <item t="default"/>
      </items>
    </pivotField>
    <pivotField showAll="0"/>
    <pivotField showAll="0"/>
    <pivotField numFmtId="2"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 showAll="0"/>
    <pivotField numFmtId="14" showAll="0"/>
  </pivotFields>
  <rowFields count="1">
    <field x="1"/>
  </rowFields>
  <rowItems count="13">
    <i>
      <x/>
    </i>
    <i>
      <x v="1"/>
    </i>
    <i>
      <x v="2"/>
    </i>
    <i>
      <x v="3"/>
    </i>
    <i>
      <x v="4"/>
    </i>
    <i>
      <x v="5"/>
    </i>
    <i>
      <x v="6"/>
    </i>
    <i>
      <x v="7"/>
    </i>
    <i>
      <x v="8"/>
    </i>
    <i>
      <x v="9"/>
    </i>
    <i>
      <x v="10"/>
    </i>
    <i>
      <x v="11"/>
    </i>
    <i t="grand">
      <x/>
    </i>
  </rowItems>
  <colItems count="1">
    <i/>
  </colItems>
  <dataFields count="1">
    <dataField name="Average of Pax" fld="6" subtotal="average" baseField="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A2A350-4A88-4616-9D6B-184F1EE2643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0" firstHeaderRow="1" firstDataRow="1" firstDataCol="1"/>
  <pivotFields count="1">
    <pivotField axis="axisRow" dataField="1" showAll="0" sortType="descending">
      <items count="87">
        <item x="36"/>
        <item x="71"/>
        <item x="3"/>
        <item x="26"/>
        <item x="83"/>
        <item x="81"/>
        <item x="5"/>
        <item x="18"/>
        <item x="40"/>
        <item x="63"/>
        <item x="56"/>
        <item x="49"/>
        <item x="75"/>
        <item x="70"/>
        <item x="13"/>
        <item x="30"/>
        <item x="7"/>
        <item x="34"/>
        <item x="58"/>
        <item x="65"/>
        <item x="31"/>
        <item x="78"/>
        <item x="80"/>
        <item x="1"/>
        <item x="19"/>
        <item x="42"/>
        <item x="6"/>
        <item x="74"/>
        <item x="17"/>
        <item x="45"/>
        <item x="10"/>
        <item x="0"/>
        <item x="38"/>
        <item x="23"/>
        <item x="20"/>
        <item x="46"/>
        <item x="22"/>
        <item x="11"/>
        <item x="29"/>
        <item x="51"/>
        <item x="73"/>
        <item x="4"/>
        <item x="27"/>
        <item x="82"/>
        <item x="43"/>
        <item x="37"/>
        <item x="55"/>
        <item x="2"/>
        <item x="72"/>
        <item x="59"/>
        <item x="60"/>
        <item x="39"/>
        <item x="28"/>
        <item x="25"/>
        <item x="32"/>
        <item x="15"/>
        <item x="61"/>
        <item x="44"/>
        <item x="66"/>
        <item x="77"/>
        <item x="53"/>
        <item x="47"/>
        <item x="69"/>
        <item x="21"/>
        <item x="33"/>
        <item x="79"/>
        <item x="84"/>
        <item x="12"/>
        <item x="68"/>
        <item x="48"/>
        <item x="52"/>
        <item x="50"/>
        <item x="64"/>
        <item x="24"/>
        <item x="14"/>
        <item x="35"/>
        <item x="41"/>
        <item x="62"/>
        <item x="54"/>
        <item x="85"/>
        <item x="57"/>
        <item x="76"/>
        <item x="9"/>
        <item x="8"/>
        <item x="16"/>
        <item x="67"/>
        <item t="default"/>
      </items>
      <autoSortScope>
        <pivotArea dataOnly="0" outline="0" fieldPosition="0">
          <references count="1">
            <reference field="4294967294" count="1" selected="0">
              <x v="0"/>
            </reference>
          </references>
        </pivotArea>
      </autoSortScope>
    </pivotField>
  </pivotFields>
  <rowFields count="1">
    <field x="0"/>
  </rowFields>
  <rowItems count="87">
    <i>
      <x v="38"/>
    </i>
    <i>
      <x v="78"/>
    </i>
    <i>
      <x v="56"/>
    </i>
    <i>
      <x v="51"/>
    </i>
    <i>
      <x v="5"/>
    </i>
    <i>
      <x v="18"/>
    </i>
    <i>
      <x v="82"/>
    </i>
    <i>
      <x v="70"/>
    </i>
    <i>
      <x v="54"/>
    </i>
    <i>
      <x v="46"/>
    </i>
    <i>
      <x v="8"/>
    </i>
    <i>
      <x v="62"/>
    </i>
    <i>
      <x v="9"/>
    </i>
    <i>
      <x v="6"/>
    </i>
    <i>
      <x v="10"/>
    </i>
    <i>
      <x v="50"/>
    </i>
    <i>
      <x v="11"/>
    </i>
    <i>
      <x v="58"/>
    </i>
    <i>
      <x v="12"/>
    </i>
    <i>
      <x v="66"/>
    </i>
    <i>
      <x v="13"/>
    </i>
    <i>
      <x v="74"/>
    </i>
    <i>
      <x v="14"/>
    </i>
    <i>
      <x v="44"/>
    </i>
    <i>
      <x v="15"/>
    </i>
    <i>
      <x v="48"/>
    </i>
    <i>
      <x v="16"/>
    </i>
    <i>
      <x v="52"/>
    </i>
    <i>
      <x v="17"/>
    </i>
    <i>
      <x v="1"/>
    </i>
    <i>
      <x v="2"/>
    </i>
    <i>
      <x v="60"/>
    </i>
    <i>
      <x v="19"/>
    </i>
    <i>
      <x v="64"/>
    </i>
    <i>
      <x v="20"/>
    </i>
    <i>
      <x v="68"/>
    </i>
    <i>
      <x v="21"/>
    </i>
    <i>
      <x v="72"/>
    </i>
    <i>
      <x v="22"/>
    </i>
    <i>
      <x v="76"/>
    </i>
    <i>
      <x v="23"/>
    </i>
    <i>
      <x v="80"/>
    </i>
    <i>
      <x v="24"/>
    </i>
    <i>
      <x v="45"/>
    </i>
    <i>
      <x v="25"/>
    </i>
    <i>
      <x v="47"/>
    </i>
    <i>
      <x v="26"/>
    </i>
    <i>
      <x v="49"/>
    </i>
    <i>
      <x v="27"/>
    </i>
    <i>
      <x v="4"/>
    </i>
    <i>
      <x v="28"/>
    </i>
    <i>
      <x v="53"/>
    </i>
    <i>
      <x v="29"/>
    </i>
    <i>
      <x v="55"/>
    </i>
    <i>
      <x v="30"/>
    </i>
    <i>
      <x v="57"/>
    </i>
    <i>
      <x v="31"/>
    </i>
    <i>
      <x v="59"/>
    </i>
    <i>
      <x v="32"/>
    </i>
    <i>
      <x v="61"/>
    </i>
    <i>
      <x v="33"/>
    </i>
    <i>
      <x v="63"/>
    </i>
    <i>
      <x v="34"/>
    </i>
    <i>
      <x v="65"/>
    </i>
    <i>
      <x v="35"/>
    </i>
    <i>
      <x v="67"/>
    </i>
    <i>
      <x v="36"/>
    </i>
    <i>
      <x v="69"/>
    </i>
    <i>
      <x v="37"/>
    </i>
    <i>
      <x v="71"/>
    </i>
    <i>
      <x v="3"/>
    </i>
    <i>
      <x v="73"/>
    </i>
    <i>
      <x v="39"/>
    </i>
    <i>
      <x v="75"/>
    </i>
    <i>
      <x v="81"/>
    </i>
    <i>
      <x v="77"/>
    </i>
    <i>
      <x v="83"/>
    </i>
    <i>
      <x v="79"/>
    </i>
    <i>
      <x v="85"/>
    </i>
    <i>
      <x v="7"/>
    </i>
    <i>
      <x v="43"/>
    </i>
    <i>
      <x v="40"/>
    </i>
    <i>
      <x v="84"/>
    </i>
    <i>
      <x v="41"/>
    </i>
    <i>
      <x/>
    </i>
    <i>
      <x v="42"/>
    </i>
    <i t="grand">
      <x/>
    </i>
  </rowItems>
  <colItems count="1">
    <i/>
  </colItems>
  <dataFields count="1">
    <dataField name="Count of Column1"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717181-75B7-47EC-99E4-BC5D4C8817CE}" name="Table4" displayName="Table4" ref="A1:V251" totalsRowCount="1">
  <autoFilter ref="A1:V250" xr:uid="{A3213097-45DB-489B-956D-B742DC016828}"/>
  <tableColumns count="22">
    <tableColumn id="1" xr3:uid="{7E9264D8-5AB6-4BF1-87E9-F5FA805FEB5B}" name="Year"/>
    <tableColumn id="2" xr3:uid="{0F8E1B3F-BD30-49BE-8392-B217DC020C67}" name="Month"/>
    <tableColumn id="3" xr3:uid="{8A2C42EC-ACC0-4BB1-9E45-EDC29A6711DE}" name="Season">
      <calculatedColumnFormula>IF(B2&lt;=2,"Winter",
 IF(B2&lt;=5,"Spring",
 IF(B2&lt;=8,"Summer","Fall")))</calculatedColumnFormula>
    </tableColumn>
    <tableColumn id="4" xr3:uid="{2D3FD3DB-B82F-4664-9FEF-37C86E0BDCD0}" name="High_Traffic" dataDxfId="40">
      <calculatedColumnFormula>IF(G2 &gt;= Table4[[#Totals],[Pax]], 1, 0)</calculatedColumnFormula>
    </tableColumn>
    <tableColumn id="5" xr3:uid="{0CA15E6E-54B7-4790-8453-303FB429F84C}" name="Dom_Pax" dataDxfId="54" totalsRowDxfId="29"/>
    <tableColumn id="6" xr3:uid="{5E7DA56B-ED87-4B73-9716-F8781F23E8BE}" name="Int_Pax" dataDxfId="53" totalsRowDxfId="28"/>
    <tableColumn id="7" xr3:uid="{9DC5278B-BC4E-4E69-AAB1-16205BB5FF4F}" name="Pax" totalsRowFunction="custom" dataDxfId="52" totalsRowDxfId="27">
      <totalsRowFormula>AVERAGE(G2:G250)</totalsRowFormula>
    </tableColumn>
    <tableColumn id="8" xr3:uid="{8CE0F334-F6D9-4283-B44F-84BA11A29CE9}" name="Pax_Lag1" dataDxfId="51" totalsRowDxfId="26">
      <calculatedColumnFormula>G1</calculatedColumnFormula>
    </tableColumn>
    <tableColumn id="9" xr3:uid="{D588D88C-F6A8-4D97-A9BE-F5C5035A32E4}" name="Dom_Flt" dataDxfId="50" totalsRowDxfId="25"/>
    <tableColumn id="10" xr3:uid="{CA24ED67-6EC0-4B29-AA1D-FCCF896580A6}" name="Int_Flt" dataDxfId="49" totalsRowDxfId="24"/>
    <tableColumn id="11" xr3:uid="{1B3564AE-25B2-4753-BAD4-0AA751AD7501}" name="Flt" dataDxfId="48" totalsRowDxfId="23"/>
    <tableColumn id="12" xr3:uid="{6B3EEF3D-6AEC-44F9-9E78-85B926B3912B}" name="Dom_RPM" dataDxfId="47" totalsRowDxfId="22"/>
    <tableColumn id="13" xr3:uid="{F53B456C-3963-4931-AA13-A4FB1F26BD82}" name="Int_RPM" dataDxfId="46" totalsRowDxfId="21"/>
    <tableColumn id="14" xr3:uid="{73197936-C733-4EC7-88D7-4B104E98AC30}" name="RPM" dataDxfId="45" totalsRowDxfId="20"/>
    <tableColumn id="15" xr3:uid="{4E745F48-B165-449F-AA2A-1955E99FAAD4}" name="Dom_ASM" dataDxfId="44" totalsRowDxfId="19"/>
    <tableColumn id="16" xr3:uid="{17BC37F2-709A-471B-A477-85A574129E46}" name="Int_ASM" dataDxfId="43" totalsRowDxfId="18"/>
    <tableColumn id="17" xr3:uid="{871759B9-3C01-49BF-8243-0121943D1CA4}" name="ASM" dataDxfId="42" totalsRowDxfId="17"/>
    <tableColumn id="18" xr3:uid="{4A4A7AD1-6F26-49E1-B9A0-FE00EFB13BB5}" name="Dom_LF"/>
    <tableColumn id="19" xr3:uid="{62299A60-8621-48BE-A6FB-7C08AC9CF0E3}" name="Int_LF"/>
    <tableColumn id="20" xr3:uid="{FCD4E77D-6027-4EE2-BBD6-8952A76EFF8C}" name="LF"/>
    <tableColumn id="21" xr3:uid="{FC36D685-8B28-44F6-BAA7-520B2512DEA8}" name="Date" dataDxfId="41" totalsRowDxfId="16">
      <calculatedColumnFormula>DATE(A2, B2, 1)</calculatedColumnFormula>
    </tableColumn>
    <tableColumn id="22" xr3:uid="{53E9371B-ACB2-4A19-9E77-CE23116E491F}" name="Season2">
      <calculatedColumnFormula>IF(OR(B2=12,B2=1,B2=2),"Winter",
IF(OR(B2=3,B2=4,B2=5),"Spring",
IF(OR(B2=6,B2=7,B2=8),"Summer","Fall")))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F19BDD-5A71-4A65-8D67-BE466C1CE917}" name="Table5" displayName="Table5" ref="A1:M251" totalsRowCount="1" headerRowDxfId="55" dataDxfId="56" tableBorderDxfId="57">
  <autoFilter ref="A1:M250" xr:uid="{44F19BDD-5A71-4A65-8D67-BE466C1CE917}"/>
  <tableColumns count="13">
    <tableColumn id="1" xr3:uid="{10EA36E2-57D7-4A63-9ECE-F349477DEB14}" name="Month" dataDxfId="39" totalsRowDxfId="12"/>
    <tableColumn id="2" xr3:uid="{0DBE430F-216F-4396-ABE7-AE3977CF08AB}" name="Year" dataDxfId="38" totalsRowDxfId="11"/>
    <tableColumn id="3" xr3:uid="{7C8146E2-06CD-474B-9686-0C49852F728F}" name="Pax" totalsRowFunction="custom" dataDxfId="30" totalsRowDxfId="10">
      <totalsRowFormula>AVERAGE(C2:C250)</totalsRowFormula>
    </tableColumn>
    <tableColumn id="4" xr3:uid="{F203B3C0-F8B5-49C2-977E-BBED70CAB394}" name="Dom_Pax" dataDxfId="37" totalsRowDxfId="9"/>
    <tableColumn id="5" xr3:uid="{50D35B4A-6975-4B39-81B3-0C4415B0ECD8}" name="Int_Pax" dataDxfId="36" totalsRowDxfId="8"/>
    <tableColumn id="6" xr3:uid="{3006C61E-3CA5-4C53-8B63-686D9733DBB6}" name="Season" dataDxfId="35" totalsRowDxfId="7">
      <calculatedColumnFormula>IF(E2&lt;=2,"Winter",
 IF(E2&lt;=5,"Spring",
 IF(E2&lt;=8,"Summer","Fall")))</calculatedColumnFormula>
    </tableColumn>
    <tableColumn id="7" xr3:uid="{B4FE6BE7-0AF1-46E9-8051-F7C5A3E57ACD}" name="High_Traffic" dataDxfId="32" totalsRowDxfId="6">
      <calculatedColumnFormula>Table4[[#This Row],[High_Traffic]]</calculatedColumnFormula>
    </tableColumn>
    <tableColumn id="8" xr3:uid="{B507E294-9AA8-44BE-B5A5-81F2A096BE61}" name="DT_Prediction" dataDxfId="31" totalsRowDxfId="5">
      <calculatedColumnFormula>IF(C2 &gt;= Table4[[#Totals],[Pax]], 1, 0)</calculatedColumnFormula>
    </tableColumn>
    <tableColumn id="9" xr3:uid="{1EB71AA5-6C0F-4010-8293-906148F6F709}" name="DT_Correct " totalsRowFunction="custom" dataDxfId="34" totalsRowDxfId="4">
      <calculatedColumnFormula>IF(G2=H2,1,0)</calculatedColumnFormula>
      <totalsRowFormula>AVERAGE(I2:I250)</totalsRowFormula>
    </tableColumn>
    <tableColumn id="10" xr3:uid="{472F1832-0C69-41D4-9EC9-F8420754DB10}" name="Logit" dataDxfId="33" totalsRowDxfId="3"/>
    <tableColumn id="11" xr3:uid="{6F05AB10-02CC-404E-ACDC-64C76BA25149}" name="Logistic_Pred" dataDxfId="15" totalsRowDxfId="2">
      <calculatedColumnFormula>IF(C2 &gt;= Table5[[#Totals],[Pax]], 1, 0)</calculatedColumnFormula>
    </tableColumn>
    <tableColumn id="12" xr3:uid="{305E1A9C-32B1-4394-B064-7BBD72F9CE06}" name="LR_Prediction" totalsRowFunction="custom" dataDxfId="14" totalsRowDxfId="1">
      <calculatedColumnFormula>IF(C2 &gt;= Table5[[#Totals],[Pax]], 1, 0)</calculatedColumnFormula>
      <totalsRowFormula>AVERAGE(M2:M250)</totalsRowFormula>
    </tableColumn>
    <tableColumn id="13" xr3:uid="{8A2FDC7B-3872-4DF5-9A69-E8DD879DE939}" name="LR_Correct" dataDxfId="13" totalsRowDxfId="0">
      <calculatedColumnFormula>IF(L2 = G2, 1, 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10835B-A031-4238-AFDF-C73C50D51BDA}" name="Table1" displayName="Table1" ref="K2:K22" totalsRowShown="0">
  <autoFilter ref="K2:K22" xr:uid="{9910835B-A031-4238-AFDF-C73C50D51BDA}"/>
  <tableColumns count="1">
    <tableColumn id="1" xr3:uid="{FCC83D01-6FBA-4CD1-8149-FCD176AA6BE4}" name="Column1">
      <calculatedColumnFormula>TRIM(SUBSTITUTE(SUBSTITUTE(SUBSTITUTE(SUBSTITUTE(SUBSTITUTE(SUBSTITUTE(SUBSTITUTE(SUBSTITUTE(SUBSTITUTE(SUBSTITUTE(J2, " the ", " "), " and ", " "), " a ", " "), " in ", " "), " of ", " "), " to ", " "), " for ", " "), " with ", " "), " is ", " "), " on ", "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A7C169-54EA-4F16-853B-C4A70C42493D}" name="Table3" displayName="Table3" ref="J1:J21" totalsRowShown="0">
  <autoFilter ref="J1:J21" xr:uid="{3BA7C169-54EA-4F16-853B-C4A70C42493D}"/>
  <tableColumns count="1">
    <tableColumn id="1" xr3:uid="{3E93BB94-129A-4763-9D98-6B49D336F205}" name="Clean_Text">
      <calculatedColumnFormula>LOWER(TRIM(SUBSTITUTE(SUBSTITUTE(SUBSTITUTE(SUBSTITUTE(F2, ",", ""), ".", ""), "'", ""), """",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 dT="2025-12-09T00:51:19.28" personId="{E68B9EA4-1B2E-480E-A484-CAD4AD88B02D}" id="{D04AF49B-1E5D-4274-93C0-C9B488F4D980}">
    <text xml:space="preserve">clean binary label (0 or 1) </text>
  </threadedComment>
  <threadedComment ref="H1" dT="2025-12-09T01:12:09.68" personId="{E68B9EA4-1B2E-480E-A484-CAD4AD88B02D}" id="{75BB1EFE-94DB-42F4-85DA-30C3BC2001A2}">
    <text xml:space="preserve">Passenger count from the PREVIOUS month </text>
  </threadedComment>
</ThreadedComments>
</file>

<file path=xl/threadedComments/threadedComment2.xml><?xml version="1.0" encoding="utf-8"?>
<ThreadedComments xmlns="http://schemas.microsoft.com/office/spreadsheetml/2018/threadedcomments" xmlns:x="http://schemas.openxmlformats.org/spreadsheetml/2006/main">
  <threadedComment ref="G1" dT="2025-12-09T00:51:19.28" personId="{E68B9EA4-1B2E-480E-A484-CAD4AD88B02D}" id="{1BF894DF-342F-4ACD-AFDD-3D77B9C37C76}">
    <text xml:space="preserve">clean binary label (0 or 1) </text>
  </threadedComment>
  <threadedComment ref="I251" dT="2025-12-09T06:20:09.44" personId="{E68B9EA4-1B2E-480E-A484-CAD4AD88B02D}" id="{A082B590-122B-42FB-AA2C-5D67E89136CB}">
    <text xml:space="preserve">DT Accuracy </text>
  </threadedComment>
  <threadedComment ref="L251" dT="2025-12-09T06:20:31.09" personId="{E68B9EA4-1B2E-480E-A484-CAD4AD88B02D}" id="{B32579DC-AB7F-4785-A854-0F1BCAB4BCBD}">
    <text xml:space="preserve">LR Accuracy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6BF4-4A86-40B9-A77E-3606557C7774}">
  <dimension ref="A3:B8"/>
  <sheetViews>
    <sheetView workbookViewId="0">
      <selection activeCell="C6" sqref="C6"/>
    </sheetView>
  </sheetViews>
  <sheetFormatPr defaultRowHeight="14.5" x14ac:dyDescent="0.35"/>
  <cols>
    <col min="1" max="1" width="12.453125" bestFit="1" customWidth="1"/>
    <col min="2" max="2" width="18.453125" bestFit="1" customWidth="1"/>
    <col min="3" max="3" width="10.36328125" bestFit="1" customWidth="1"/>
  </cols>
  <sheetData>
    <row r="3" spans="1:2" x14ac:dyDescent="0.35">
      <c r="A3" s="3" t="s">
        <v>23</v>
      </c>
      <c r="B3" t="s">
        <v>208</v>
      </c>
    </row>
    <row r="4" spans="1:2" x14ac:dyDescent="0.35">
      <c r="A4" s="4" t="s">
        <v>80</v>
      </c>
      <c r="B4">
        <v>81</v>
      </c>
    </row>
    <row r="5" spans="1:2" x14ac:dyDescent="0.35">
      <c r="A5" s="4" t="s">
        <v>29</v>
      </c>
      <c r="B5">
        <v>63</v>
      </c>
    </row>
    <row r="6" spans="1:2" x14ac:dyDescent="0.35">
      <c r="A6" s="4" t="s">
        <v>40</v>
      </c>
      <c r="B6">
        <v>63</v>
      </c>
    </row>
    <row r="7" spans="1:2" x14ac:dyDescent="0.35">
      <c r="A7" s="4" t="s">
        <v>35</v>
      </c>
      <c r="B7">
        <v>42</v>
      </c>
    </row>
    <row r="8" spans="1:2" x14ac:dyDescent="0.35">
      <c r="A8" s="4" t="s">
        <v>22</v>
      </c>
      <c r="B8">
        <v>249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3097-45DB-489B-956D-B742DC016828}">
  <dimension ref="A1:V253"/>
  <sheetViews>
    <sheetView workbookViewId="0">
      <pane ySplit="1" topLeftCell="A242" activePane="bottomLeft" state="frozen"/>
      <selection pane="bottomLeft" activeCell="G252" sqref="G252"/>
    </sheetView>
  </sheetViews>
  <sheetFormatPr defaultRowHeight="14.5" x14ac:dyDescent="0.35"/>
  <cols>
    <col min="1" max="1" width="6.7265625" bestFit="1" customWidth="1"/>
    <col min="2" max="2" width="8.1796875" bestFit="1" customWidth="1"/>
    <col min="3" max="3" width="8.90625" customWidth="1"/>
    <col min="4" max="4" width="12.81640625" customWidth="1"/>
    <col min="5" max="7" width="11.36328125" style="1" bestFit="1" customWidth="1"/>
    <col min="8" max="8" width="11.36328125" style="1" customWidth="1"/>
    <col min="9" max="9" width="9.81640625" style="1" bestFit="1" customWidth="1"/>
    <col min="10" max="10" width="8.36328125" style="1" bestFit="1" customWidth="1"/>
    <col min="11" max="11" width="9.36328125" style="1" bestFit="1" customWidth="1"/>
    <col min="12" max="13" width="11.36328125" style="1" bestFit="1" customWidth="1"/>
    <col min="14" max="14" width="12.36328125" style="1" bestFit="1" customWidth="1"/>
    <col min="15" max="16" width="11.36328125" style="1" bestFit="1" customWidth="1"/>
    <col min="17" max="17" width="12.36328125" style="1" bestFit="1" customWidth="1"/>
    <col min="18" max="18" width="9.6328125" bestFit="1" customWidth="1"/>
    <col min="19" max="19" width="7.90625" bestFit="1" customWidth="1"/>
    <col min="20" max="20" width="5.81640625" bestFit="1" customWidth="1"/>
    <col min="21" max="21" width="9.08984375" bestFit="1" customWidth="1"/>
    <col min="22" max="22" width="9.90625" customWidth="1"/>
  </cols>
  <sheetData>
    <row r="1" spans="1:22" x14ac:dyDescent="0.35">
      <c r="A1" t="s">
        <v>0</v>
      </c>
      <c r="B1" t="s">
        <v>1</v>
      </c>
      <c r="C1" t="s">
        <v>17</v>
      </c>
      <c r="D1" t="s">
        <v>20</v>
      </c>
      <c r="E1" s="1" t="s">
        <v>2</v>
      </c>
      <c r="F1" s="1" t="s">
        <v>3</v>
      </c>
      <c r="G1" s="1" t="s">
        <v>4</v>
      </c>
      <c r="H1" t="s">
        <v>25</v>
      </c>
      <c r="I1" s="1" t="s">
        <v>5</v>
      </c>
      <c r="J1" s="1" t="s">
        <v>6</v>
      </c>
      <c r="K1" s="1" t="s">
        <v>7</v>
      </c>
      <c r="L1" s="1" t="s">
        <v>8</v>
      </c>
      <c r="M1" s="1" t="s">
        <v>9</v>
      </c>
      <c r="N1" s="1" t="s">
        <v>10</v>
      </c>
      <c r="O1" s="1" t="s">
        <v>11</v>
      </c>
      <c r="P1" s="1" t="s">
        <v>12</v>
      </c>
      <c r="Q1" s="1" t="s">
        <v>13</v>
      </c>
      <c r="R1" t="s">
        <v>14</v>
      </c>
      <c r="S1" t="s">
        <v>15</v>
      </c>
      <c r="T1" t="s">
        <v>16</v>
      </c>
      <c r="U1" t="s">
        <v>21</v>
      </c>
      <c r="V1" t="s">
        <v>207</v>
      </c>
    </row>
    <row r="2" spans="1:22" x14ac:dyDescent="0.35">
      <c r="A2">
        <v>2003</v>
      </c>
      <c r="B2">
        <v>1</v>
      </c>
      <c r="C2" t="str">
        <f t="shared" ref="C2:C65" si="0">IF(B2&lt;=2,"Winter",
 IF(B2&lt;=5,"Spring",
 IF(B2&lt;=8,"Summer","Fall")))</f>
        <v>Winter</v>
      </c>
      <c r="D2">
        <f>IF(G2 &gt;= Table4[[#Totals],[Pax]], 1, 0)</f>
        <v>0</v>
      </c>
      <c r="E2" s="1">
        <v>43032450</v>
      </c>
      <c r="F2" s="1">
        <v>4905830</v>
      </c>
      <c r="G2" s="1">
        <v>47938280</v>
      </c>
      <c r="I2" s="1">
        <v>785160</v>
      </c>
      <c r="J2" s="1">
        <v>57667</v>
      </c>
      <c r="K2" s="1">
        <v>842827</v>
      </c>
      <c r="L2" s="1">
        <v>36211422</v>
      </c>
      <c r="M2" s="1">
        <v>12885980</v>
      </c>
      <c r="N2" s="1">
        <v>49097402</v>
      </c>
      <c r="O2" s="1">
        <v>56191300</v>
      </c>
      <c r="P2" s="1">
        <v>17968572</v>
      </c>
      <c r="Q2" s="1">
        <v>74159872</v>
      </c>
      <c r="R2">
        <v>64.44</v>
      </c>
      <c r="S2">
        <v>71.709999999999994</v>
      </c>
      <c r="T2">
        <v>66.2</v>
      </c>
      <c r="U2" s="2">
        <f>DATE(A2, B2, 1)</f>
        <v>37622</v>
      </c>
      <c r="V2" t="str">
        <f>IF(OR(B2=12,B2=1,B2=2),"Winter",
IF(OR(B2=3,B2=4,B2=5),"Spring",
IF(OR(B2=6,B2=7,B2=8),"Summer","Fall")))</f>
        <v>Winter</v>
      </c>
    </row>
    <row r="3" spans="1:22" x14ac:dyDescent="0.35">
      <c r="A3">
        <v>2003</v>
      </c>
      <c r="B3">
        <v>2</v>
      </c>
      <c r="C3" t="str">
        <f t="shared" si="0"/>
        <v>Winter</v>
      </c>
      <c r="D3">
        <f>IF(G3 &gt;= Table4[[#Totals],[Pax]], 1, 0)</f>
        <v>0</v>
      </c>
      <c r="E3" s="1">
        <v>41166780</v>
      </c>
      <c r="F3" s="1">
        <v>4245366</v>
      </c>
      <c r="G3" s="1">
        <v>45412146</v>
      </c>
      <c r="H3" s="1">
        <f>G2</f>
        <v>47938280</v>
      </c>
      <c r="I3" s="1">
        <v>690351</v>
      </c>
      <c r="J3" s="1">
        <v>51259</v>
      </c>
      <c r="K3" s="1">
        <v>741610</v>
      </c>
      <c r="L3" s="1">
        <v>34148439</v>
      </c>
      <c r="M3" s="1">
        <v>10715468</v>
      </c>
      <c r="N3" s="1">
        <v>44863907</v>
      </c>
      <c r="O3" s="1">
        <v>50088434</v>
      </c>
      <c r="P3" s="1">
        <v>15587880</v>
      </c>
      <c r="Q3" s="1">
        <v>65676314</v>
      </c>
      <c r="R3">
        <v>68.180000000000007</v>
      </c>
      <c r="S3">
        <v>68.739999999999995</v>
      </c>
      <c r="T3">
        <v>68.31</v>
      </c>
      <c r="U3" s="2">
        <f t="shared" ref="U3:U66" si="1">DATE(A3, B3, 1)</f>
        <v>37653</v>
      </c>
      <c r="V3" t="str">
        <f t="shared" ref="V3:V66" si="2">IF(OR(B3=12,B3=1,B3=2),"Winter",
IF(OR(B3=3,B3=4,B3=5),"Spring",
IF(OR(B3=6,B3=7,B3=8),"Summer","Fall")))</f>
        <v>Winter</v>
      </c>
    </row>
    <row r="4" spans="1:22" x14ac:dyDescent="0.35">
      <c r="A4">
        <v>2003</v>
      </c>
      <c r="B4">
        <v>3</v>
      </c>
      <c r="C4" t="str">
        <f t="shared" si="0"/>
        <v>Spring</v>
      </c>
      <c r="D4">
        <f>IF(G4 &gt;= Table4[[#Totals],[Pax]], 1, 0)</f>
        <v>0</v>
      </c>
      <c r="E4" s="1">
        <v>49992700</v>
      </c>
      <c r="F4" s="1">
        <v>5008613</v>
      </c>
      <c r="G4" s="1">
        <v>55001313</v>
      </c>
      <c r="H4" s="1">
        <f t="shared" ref="H4:H67" si="3">G3</f>
        <v>45412146</v>
      </c>
      <c r="I4" s="1">
        <v>797194</v>
      </c>
      <c r="J4" s="1">
        <v>58926</v>
      </c>
      <c r="K4" s="1">
        <v>856120</v>
      </c>
      <c r="L4" s="1">
        <v>41774564</v>
      </c>
      <c r="M4" s="1">
        <v>12567068</v>
      </c>
      <c r="N4" s="1">
        <v>54341633</v>
      </c>
      <c r="O4" s="1">
        <v>57592901</v>
      </c>
      <c r="P4" s="1">
        <v>17753174</v>
      </c>
      <c r="Q4" s="1">
        <v>75346075</v>
      </c>
      <c r="R4">
        <v>72.53</v>
      </c>
      <c r="S4">
        <v>70.790000000000006</v>
      </c>
      <c r="T4">
        <v>72.12</v>
      </c>
      <c r="U4" s="2">
        <f t="shared" si="1"/>
        <v>37681</v>
      </c>
      <c r="V4" t="str">
        <f t="shared" si="2"/>
        <v>Spring</v>
      </c>
    </row>
    <row r="5" spans="1:22" x14ac:dyDescent="0.35">
      <c r="A5">
        <v>2003</v>
      </c>
      <c r="B5">
        <v>4</v>
      </c>
      <c r="C5" t="str">
        <f t="shared" si="0"/>
        <v>Spring</v>
      </c>
      <c r="D5">
        <f>IF(G5 &gt;= Table4[[#Totals],[Pax]], 1, 0)</f>
        <v>0</v>
      </c>
      <c r="E5" s="1">
        <v>47033260</v>
      </c>
      <c r="F5" s="1">
        <v>4345444</v>
      </c>
      <c r="G5" s="1">
        <v>51378704</v>
      </c>
      <c r="H5" s="1">
        <f t="shared" si="3"/>
        <v>55001313</v>
      </c>
      <c r="I5" s="1">
        <v>766260</v>
      </c>
      <c r="J5" s="1">
        <v>55005</v>
      </c>
      <c r="K5" s="1">
        <v>821265</v>
      </c>
      <c r="L5" s="1">
        <v>39465980</v>
      </c>
      <c r="M5" s="1">
        <v>10370592</v>
      </c>
      <c r="N5" s="1">
        <v>49836572</v>
      </c>
      <c r="O5" s="1">
        <v>54639679</v>
      </c>
      <c r="P5" s="1">
        <v>15528761</v>
      </c>
      <c r="Q5" s="1">
        <v>70168440</v>
      </c>
      <c r="R5">
        <v>72.23</v>
      </c>
      <c r="S5">
        <v>66.78</v>
      </c>
      <c r="T5">
        <v>71.02</v>
      </c>
      <c r="U5" s="2">
        <f t="shared" si="1"/>
        <v>37712</v>
      </c>
      <c r="V5" t="str">
        <f t="shared" si="2"/>
        <v>Spring</v>
      </c>
    </row>
    <row r="6" spans="1:22" x14ac:dyDescent="0.35">
      <c r="A6">
        <v>2003</v>
      </c>
      <c r="B6">
        <v>5</v>
      </c>
      <c r="C6" t="str">
        <f t="shared" si="0"/>
        <v>Spring</v>
      </c>
      <c r="D6">
        <f>IF(G6 &gt;= Table4[[#Totals],[Pax]], 1, 0)</f>
        <v>0</v>
      </c>
      <c r="E6" s="1">
        <v>49152352</v>
      </c>
      <c r="F6" s="1">
        <v>4610834</v>
      </c>
      <c r="G6" s="1">
        <v>53763186</v>
      </c>
      <c r="H6" s="1">
        <f t="shared" si="3"/>
        <v>51378704</v>
      </c>
      <c r="I6" s="1">
        <v>789397</v>
      </c>
      <c r="J6" s="1">
        <v>55265</v>
      </c>
      <c r="K6" s="1">
        <v>844662</v>
      </c>
      <c r="L6" s="1">
        <v>41001934</v>
      </c>
      <c r="M6" s="1">
        <v>11575026</v>
      </c>
      <c r="N6" s="1">
        <v>52576960</v>
      </c>
      <c r="O6" s="1">
        <v>55349897</v>
      </c>
      <c r="P6" s="1">
        <v>15629821</v>
      </c>
      <c r="Q6" s="1">
        <v>70979718</v>
      </c>
      <c r="R6">
        <v>74.08</v>
      </c>
      <c r="S6">
        <v>74.06</v>
      </c>
      <c r="T6">
        <v>74.069999999999993</v>
      </c>
      <c r="U6" s="2">
        <f t="shared" si="1"/>
        <v>37742</v>
      </c>
      <c r="V6" t="str">
        <f t="shared" si="2"/>
        <v>Spring</v>
      </c>
    </row>
    <row r="7" spans="1:22" x14ac:dyDescent="0.35">
      <c r="A7">
        <v>2003</v>
      </c>
      <c r="B7">
        <v>6</v>
      </c>
      <c r="C7" t="str">
        <f t="shared" si="0"/>
        <v>Summer</v>
      </c>
      <c r="D7">
        <f>IF(G7 &gt;= Table4[[#Totals],[Pax]], 1, 0)</f>
        <v>0</v>
      </c>
      <c r="E7" s="1">
        <v>52209516</v>
      </c>
      <c r="F7" s="1">
        <v>5411504</v>
      </c>
      <c r="G7" s="1">
        <v>57621020</v>
      </c>
      <c r="H7" s="1">
        <f t="shared" si="3"/>
        <v>53763186</v>
      </c>
      <c r="I7" s="1">
        <v>798351</v>
      </c>
      <c r="J7" s="1">
        <v>58225</v>
      </c>
      <c r="K7" s="1">
        <v>856576</v>
      </c>
      <c r="L7" s="1">
        <v>44492972</v>
      </c>
      <c r="M7" s="1">
        <v>13918185</v>
      </c>
      <c r="N7" s="1">
        <v>58411157</v>
      </c>
      <c r="O7" s="1">
        <v>56555517</v>
      </c>
      <c r="P7" s="1">
        <v>17191579</v>
      </c>
      <c r="Q7" s="1">
        <v>73747096</v>
      </c>
      <c r="R7">
        <v>78.67</v>
      </c>
      <c r="S7">
        <v>80.959999999999994</v>
      </c>
      <c r="T7">
        <v>79.2</v>
      </c>
      <c r="U7" s="2">
        <f t="shared" si="1"/>
        <v>37773</v>
      </c>
      <c r="V7" t="str">
        <f t="shared" si="2"/>
        <v>Summer</v>
      </c>
    </row>
    <row r="8" spans="1:22" x14ac:dyDescent="0.35">
      <c r="A8">
        <v>2003</v>
      </c>
      <c r="B8">
        <v>7</v>
      </c>
      <c r="C8" t="str">
        <f t="shared" si="0"/>
        <v>Summer</v>
      </c>
      <c r="D8">
        <f>IF(G8 &gt;= Table4[[#Totals],[Pax]], 1, 0)</f>
        <v>0</v>
      </c>
      <c r="E8" s="1">
        <v>55810773</v>
      </c>
      <c r="F8" s="1">
        <v>6191120</v>
      </c>
      <c r="G8" s="1">
        <v>62001893</v>
      </c>
      <c r="H8" s="1">
        <f t="shared" si="3"/>
        <v>57621020</v>
      </c>
      <c r="I8" s="1">
        <v>831619</v>
      </c>
      <c r="J8" s="1">
        <v>62957</v>
      </c>
      <c r="K8" s="1">
        <v>894576</v>
      </c>
      <c r="L8" s="1">
        <v>48321924</v>
      </c>
      <c r="M8" s="1">
        <v>15516794</v>
      </c>
      <c r="N8" s="1">
        <v>63838718</v>
      </c>
      <c r="O8" s="1">
        <v>59617048</v>
      </c>
      <c r="P8" s="1">
        <v>18701759</v>
      </c>
      <c r="Q8" s="1">
        <v>78318807</v>
      </c>
      <c r="R8">
        <v>81.05</v>
      </c>
      <c r="S8">
        <v>82.97</v>
      </c>
      <c r="T8">
        <v>81.510000000000005</v>
      </c>
      <c r="U8" s="2">
        <f t="shared" si="1"/>
        <v>37803</v>
      </c>
      <c r="V8" t="str">
        <f t="shared" si="2"/>
        <v>Summer</v>
      </c>
    </row>
    <row r="9" spans="1:22" x14ac:dyDescent="0.35">
      <c r="A9">
        <v>2003</v>
      </c>
      <c r="B9">
        <v>8</v>
      </c>
      <c r="C9" t="str">
        <f t="shared" si="0"/>
        <v>Summer</v>
      </c>
      <c r="D9">
        <f>IF(G9 &gt;= Table4[[#Totals],[Pax]], 1, 0)</f>
        <v>0</v>
      </c>
      <c r="E9" s="1">
        <v>53920973</v>
      </c>
      <c r="F9" s="1">
        <v>6272332</v>
      </c>
      <c r="G9" s="1">
        <v>60193305</v>
      </c>
      <c r="H9" s="1">
        <f t="shared" si="3"/>
        <v>62001893</v>
      </c>
      <c r="I9" s="1">
        <v>830737</v>
      </c>
      <c r="J9" s="1">
        <v>63760</v>
      </c>
      <c r="K9" s="1">
        <v>894497</v>
      </c>
      <c r="L9" s="1">
        <v>46982527</v>
      </c>
      <c r="M9" s="1">
        <v>15906430</v>
      </c>
      <c r="N9" s="1">
        <v>62888957</v>
      </c>
      <c r="O9" s="1">
        <v>59634190</v>
      </c>
      <c r="P9" s="1">
        <v>19144885</v>
      </c>
      <c r="Q9" s="1">
        <v>78779075</v>
      </c>
      <c r="R9">
        <v>78.78</v>
      </c>
      <c r="S9">
        <v>83.08</v>
      </c>
      <c r="T9">
        <v>79.83</v>
      </c>
      <c r="U9" s="2">
        <f t="shared" si="1"/>
        <v>37834</v>
      </c>
      <c r="V9" t="str">
        <f t="shared" si="2"/>
        <v>Summer</v>
      </c>
    </row>
    <row r="10" spans="1:22" x14ac:dyDescent="0.35">
      <c r="A10">
        <v>2003</v>
      </c>
      <c r="B10">
        <v>9</v>
      </c>
      <c r="C10" t="str">
        <f t="shared" si="0"/>
        <v>Fall</v>
      </c>
      <c r="D10">
        <f>IF(G10 &gt;= Table4[[#Totals],[Pax]], 1, 0)</f>
        <v>0</v>
      </c>
      <c r="E10" s="1">
        <v>44213408</v>
      </c>
      <c r="F10" s="1">
        <v>4824596</v>
      </c>
      <c r="G10" s="1">
        <v>49038004</v>
      </c>
      <c r="H10" s="1">
        <f t="shared" si="3"/>
        <v>60193305</v>
      </c>
      <c r="I10" s="1">
        <v>781804</v>
      </c>
      <c r="J10" s="1">
        <v>54017</v>
      </c>
      <c r="K10" s="1">
        <v>835821</v>
      </c>
      <c r="L10" s="1">
        <v>36819820</v>
      </c>
      <c r="M10" s="1">
        <v>13570889</v>
      </c>
      <c r="N10" s="1">
        <v>50390709</v>
      </c>
      <c r="O10" s="1">
        <v>54973852</v>
      </c>
      <c r="P10" s="1">
        <v>17820478</v>
      </c>
      <c r="Q10" s="1">
        <v>72794329</v>
      </c>
      <c r="R10">
        <v>66.98</v>
      </c>
      <c r="S10">
        <v>76.150000000000006</v>
      </c>
      <c r="T10">
        <v>69.22</v>
      </c>
      <c r="U10" s="2">
        <f t="shared" si="1"/>
        <v>37865</v>
      </c>
      <c r="V10" t="str">
        <f t="shared" si="2"/>
        <v>Fall</v>
      </c>
    </row>
    <row r="11" spans="1:22" x14ac:dyDescent="0.35">
      <c r="A11">
        <v>2003</v>
      </c>
      <c r="B11">
        <v>10</v>
      </c>
      <c r="C11" t="str">
        <f t="shared" si="0"/>
        <v>Fall</v>
      </c>
      <c r="D11">
        <f>IF(G11 &gt;= Table4[[#Totals],[Pax]], 1, 0)</f>
        <v>0</v>
      </c>
      <c r="E11" s="1">
        <v>49944931</v>
      </c>
      <c r="F11" s="1">
        <v>4920822</v>
      </c>
      <c r="G11" s="1">
        <v>54865753</v>
      </c>
      <c r="H11" s="1">
        <f t="shared" si="3"/>
        <v>49038004</v>
      </c>
      <c r="I11" s="1">
        <v>818308</v>
      </c>
      <c r="J11" s="1">
        <v>54272</v>
      </c>
      <c r="K11" s="1">
        <v>872580</v>
      </c>
      <c r="L11" s="1">
        <v>41480412</v>
      </c>
      <c r="M11" s="1">
        <v>13447446</v>
      </c>
      <c r="N11" s="1">
        <v>54927858</v>
      </c>
      <c r="O11" s="1">
        <v>58001020</v>
      </c>
      <c r="P11" s="1">
        <v>17694417</v>
      </c>
      <c r="Q11" s="1">
        <v>75695437</v>
      </c>
      <c r="R11">
        <v>71.52</v>
      </c>
      <c r="S11">
        <v>76</v>
      </c>
      <c r="T11">
        <v>72.56</v>
      </c>
      <c r="U11" s="2">
        <f t="shared" si="1"/>
        <v>37895</v>
      </c>
      <c r="V11" t="str">
        <f t="shared" si="2"/>
        <v>Fall</v>
      </c>
    </row>
    <row r="12" spans="1:22" x14ac:dyDescent="0.35">
      <c r="A12">
        <v>2003</v>
      </c>
      <c r="B12">
        <v>11</v>
      </c>
      <c r="C12" t="str">
        <f t="shared" si="0"/>
        <v>Fall</v>
      </c>
      <c r="D12">
        <f>IF(G12 &gt;= Table4[[#Totals],[Pax]], 1, 0)</f>
        <v>0</v>
      </c>
      <c r="E12" s="1">
        <v>47059495</v>
      </c>
      <c r="F12" s="1">
        <v>4845759</v>
      </c>
      <c r="G12" s="1">
        <v>51905254</v>
      </c>
      <c r="H12" s="1">
        <f t="shared" si="3"/>
        <v>54865753</v>
      </c>
      <c r="I12" s="1">
        <v>765842</v>
      </c>
      <c r="J12" s="1">
        <v>53817</v>
      </c>
      <c r="K12" s="1">
        <v>819659</v>
      </c>
      <c r="L12" s="1">
        <v>39333528</v>
      </c>
      <c r="M12" s="1">
        <v>12817176</v>
      </c>
      <c r="N12" s="1">
        <v>52150704</v>
      </c>
      <c r="O12" s="1">
        <v>55785892</v>
      </c>
      <c r="P12" s="1">
        <v>16801272</v>
      </c>
      <c r="Q12" s="1">
        <v>72587163</v>
      </c>
      <c r="R12">
        <v>70.510000000000005</v>
      </c>
      <c r="S12">
        <v>76.290000000000006</v>
      </c>
      <c r="T12">
        <v>71.849999999999994</v>
      </c>
      <c r="U12" s="2">
        <f t="shared" si="1"/>
        <v>37926</v>
      </c>
      <c r="V12" t="str">
        <f t="shared" si="2"/>
        <v>Fall</v>
      </c>
    </row>
    <row r="13" spans="1:22" x14ac:dyDescent="0.35">
      <c r="A13">
        <v>2003</v>
      </c>
      <c r="B13">
        <v>12</v>
      </c>
      <c r="C13" t="str">
        <f t="shared" si="0"/>
        <v>Fall</v>
      </c>
      <c r="D13">
        <f>IF(G13 &gt;= Table4[[#Totals],[Pax]], 1, 0)</f>
        <v>0</v>
      </c>
      <c r="E13" s="1">
        <v>49757124</v>
      </c>
      <c r="F13" s="1">
        <v>5358991</v>
      </c>
      <c r="G13" s="1">
        <v>55116115</v>
      </c>
      <c r="H13" s="1">
        <f t="shared" si="3"/>
        <v>51905254</v>
      </c>
      <c r="I13" s="1">
        <v>798392</v>
      </c>
      <c r="J13" s="1">
        <v>57578</v>
      </c>
      <c r="K13" s="1">
        <v>855970</v>
      </c>
      <c r="L13" s="1">
        <v>42699596</v>
      </c>
      <c r="M13" s="1">
        <v>13929565</v>
      </c>
      <c r="N13" s="1">
        <v>56629161</v>
      </c>
      <c r="O13" s="1">
        <v>58842551</v>
      </c>
      <c r="P13" s="1">
        <v>17648530</v>
      </c>
      <c r="Q13" s="1">
        <v>76491081</v>
      </c>
      <c r="R13">
        <v>72.569999999999993</v>
      </c>
      <c r="S13">
        <v>78.930000000000007</v>
      </c>
      <c r="T13">
        <v>74.03</v>
      </c>
      <c r="U13" s="2">
        <f t="shared" si="1"/>
        <v>37956</v>
      </c>
      <c r="V13" t="str">
        <f t="shared" si="2"/>
        <v>Winter</v>
      </c>
    </row>
    <row r="14" spans="1:22" x14ac:dyDescent="0.35">
      <c r="A14">
        <v>2004</v>
      </c>
      <c r="B14">
        <v>1</v>
      </c>
      <c r="C14" t="str">
        <f t="shared" si="0"/>
        <v>Winter</v>
      </c>
      <c r="D14">
        <f>IF(G14 &gt;= Table4[[#Totals],[Pax]], 1, 0)</f>
        <v>0</v>
      </c>
      <c r="E14" s="1">
        <v>43815481</v>
      </c>
      <c r="F14" s="1">
        <v>5255246</v>
      </c>
      <c r="G14" s="1">
        <v>49070727</v>
      </c>
      <c r="H14" s="1">
        <f t="shared" si="3"/>
        <v>55116115</v>
      </c>
      <c r="I14" s="1">
        <v>787237</v>
      </c>
      <c r="J14" s="1">
        <v>58293</v>
      </c>
      <c r="K14" s="1">
        <v>845530</v>
      </c>
      <c r="L14" s="1">
        <v>38114607</v>
      </c>
      <c r="M14" s="1">
        <v>13515639</v>
      </c>
      <c r="N14" s="1">
        <v>51630246</v>
      </c>
      <c r="O14" s="1">
        <v>58306593</v>
      </c>
      <c r="P14" s="1">
        <v>17988081</v>
      </c>
      <c r="Q14" s="1">
        <v>76294673</v>
      </c>
      <c r="R14">
        <v>65.37</v>
      </c>
      <c r="S14">
        <v>75.14</v>
      </c>
      <c r="T14">
        <v>67.67</v>
      </c>
      <c r="U14" s="2">
        <f t="shared" si="1"/>
        <v>37987</v>
      </c>
      <c r="V14" t="str">
        <f t="shared" si="2"/>
        <v>Winter</v>
      </c>
    </row>
    <row r="15" spans="1:22" x14ac:dyDescent="0.35">
      <c r="A15">
        <v>2004</v>
      </c>
      <c r="B15">
        <v>2</v>
      </c>
      <c r="C15" t="str">
        <f t="shared" si="0"/>
        <v>Winter</v>
      </c>
      <c r="D15">
        <f>IF(G15 &gt;= Table4[[#Totals],[Pax]], 1, 0)</f>
        <v>0</v>
      </c>
      <c r="E15" s="1">
        <v>45306597</v>
      </c>
      <c r="F15" s="1">
        <v>4941629</v>
      </c>
      <c r="G15" s="1">
        <v>50248226</v>
      </c>
      <c r="H15" s="1">
        <f t="shared" si="3"/>
        <v>49070727</v>
      </c>
      <c r="I15" s="1">
        <v>761618</v>
      </c>
      <c r="J15" s="1">
        <v>55822</v>
      </c>
      <c r="K15" s="1">
        <v>817440</v>
      </c>
      <c r="L15" s="1">
        <v>38575084</v>
      </c>
      <c r="M15" s="1">
        <v>12153432</v>
      </c>
      <c r="N15" s="1">
        <v>50728516</v>
      </c>
      <c r="O15" s="1">
        <v>56180696</v>
      </c>
      <c r="P15" s="1">
        <v>16923112</v>
      </c>
      <c r="Q15" s="1">
        <v>73103808</v>
      </c>
      <c r="R15">
        <v>68.66</v>
      </c>
      <c r="S15">
        <v>71.819999999999993</v>
      </c>
      <c r="T15">
        <v>69.39</v>
      </c>
      <c r="U15" s="2">
        <f t="shared" si="1"/>
        <v>38018</v>
      </c>
      <c r="V15" t="str">
        <f t="shared" si="2"/>
        <v>Winter</v>
      </c>
    </row>
    <row r="16" spans="1:22" x14ac:dyDescent="0.35">
      <c r="A16">
        <v>2004</v>
      </c>
      <c r="B16">
        <v>3</v>
      </c>
      <c r="C16" t="str">
        <f t="shared" si="0"/>
        <v>Spring</v>
      </c>
      <c r="D16">
        <f>IF(G16 &gt;= Table4[[#Totals],[Pax]], 1, 0)</f>
        <v>0</v>
      </c>
      <c r="E16" s="1">
        <v>54147227</v>
      </c>
      <c r="F16" s="1">
        <v>5805703</v>
      </c>
      <c r="G16" s="1">
        <v>59952930</v>
      </c>
      <c r="H16" s="1">
        <f t="shared" si="3"/>
        <v>50248226</v>
      </c>
      <c r="I16" s="1">
        <v>834476</v>
      </c>
      <c r="J16" s="1">
        <v>60649</v>
      </c>
      <c r="K16" s="1">
        <v>895125</v>
      </c>
      <c r="L16" s="1">
        <v>46507739</v>
      </c>
      <c r="M16" s="1">
        <v>14735428</v>
      </c>
      <c r="N16" s="1">
        <v>61243168</v>
      </c>
      <c r="O16" s="1">
        <v>61833579</v>
      </c>
      <c r="P16" s="1">
        <v>18362220</v>
      </c>
      <c r="Q16" s="1">
        <v>80195799</v>
      </c>
      <c r="R16">
        <v>75.209999999999994</v>
      </c>
      <c r="S16">
        <v>80.25</v>
      </c>
      <c r="T16">
        <v>76.37</v>
      </c>
      <c r="U16" s="2">
        <f t="shared" si="1"/>
        <v>38047</v>
      </c>
      <c r="V16" t="str">
        <f t="shared" si="2"/>
        <v>Spring</v>
      </c>
    </row>
    <row r="17" spans="1:22" x14ac:dyDescent="0.35">
      <c r="A17">
        <v>2004</v>
      </c>
      <c r="B17">
        <v>4</v>
      </c>
      <c r="C17" t="str">
        <f t="shared" si="0"/>
        <v>Spring</v>
      </c>
      <c r="D17">
        <f>IF(G17 &gt;= Table4[[#Totals],[Pax]], 1, 0)</f>
        <v>0</v>
      </c>
      <c r="E17" s="1">
        <v>53253194</v>
      </c>
      <c r="F17" s="1">
        <v>5664027</v>
      </c>
      <c r="G17" s="1">
        <v>58917221</v>
      </c>
      <c r="H17" s="1">
        <f t="shared" si="3"/>
        <v>59952930</v>
      </c>
      <c r="I17" s="1">
        <v>817899</v>
      </c>
      <c r="J17" s="1">
        <v>60455</v>
      </c>
      <c r="K17" s="1">
        <v>878354</v>
      </c>
      <c r="L17" s="1">
        <v>45795662</v>
      </c>
      <c r="M17" s="1">
        <v>14338191</v>
      </c>
      <c r="N17" s="1">
        <v>60133853</v>
      </c>
      <c r="O17" s="1">
        <v>60067863</v>
      </c>
      <c r="P17" s="1">
        <v>18457525</v>
      </c>
      <c r="Q17" s="1">
        <v>78525388</v>
      </c>
      <c r="R17">
        <v>76.239999999999995</v>
      </c>
      <c r="S17">
        <v>77.680000000000007</v>
      </c>
      <c r="T17">
        <v>76.58</v>
      </c>
      <c r="U17" s="2">
        <f t="shared" si="1"/>
        <v>38078</v>
      </c>
      <c r="V17" t="str">
        <f t="shared" si="2"/>
        <v>Spring</v>
      </c>
    </row>
    <row r="18" spans="1:22" x14ac:dyDescent="0.35">
      <c r="A18">
        <v>2004</v>
      </c>
      <c r="B18">
        <v>5</v>
      </c>
      <c r="C18" t="str">
        <f t="shared" si="0"/>
        <v>Spring</v>
      </c>
      <c r="D18">
        <f>IF(G18 &gt;= Table4[[#Totals],[Pax]], 1, 0)</f>
        <v>0</v>
      </c>
      <c r="E18" s="1">
        <v>53030873</v>
      </c>
      <c r="F18" s="1">
        <v>5767517</v>
      </c>
      <c r="G18" s="1">
        <v>58798390</v>
      </c>
      <c r="H18" s="1">
        <f t="shared" si="3"/>
        <v>58917221</v>
      </c>
      <c r="I18" s="1">
        <v>833350</v>
      </c>
      <c r="J18" s="1">
        <v>62596</v>
      </c>
      <c r="K18" s="1">
        <v>895946</v>
      </c>
      <c r="L18" s="1">
        <v>45350262</v>
      </c>
      <c r="M18" s="1">
        <v>15388457</v>
      </c>
      <c r="N18" s="1">
        <v>60738719</v>
      </c>
      <c r="O18" s="1">
        <v>60923099</v>
      </c>
      <c r="P18" s="1">
        <v>19844360</v>
      </c>
      <c r="Q18" s="1">
        <v>80767459</v>
      </c>
      <c r="R18">
        <v>74.44</v>
      </c>
      <c r="S18">
        <v>77.55</v>
      </c>
      <c r="T18">
        <v>75.2</v>
      </c>
      <c r="U18" s="2">
        <f t="shared" si="1"/>
        <v>38108</v>
      </c>
      <c r="V18" t="str">
        <f t="shared" si="2"/>
        <v>Spring</v>
      </c>
    </row>
    <row r="19" spans="1:22" x14ac:dyDescent="0.35">
      <c r="A19">
        <v>2004</v>
      </c>
      <c r="B19">
        <v>6</v>
      </c>
      <c r="C19" t="str">
        <f t="shared" si="0"/>
        <v>Summer</v>
      </c>
      <c r="D19">
        <f>IF(G19 &gt;= Table4[[#Totals],[Pax]], 1, 0)</f>
        <v>1</v>
      </c>
      <c r="E19" s="1">
        <v>56959142</v>
      </c>
      <c r="F19" s="1">
        <v>6405771</v>
      </c>
      <c r="G19" s="1">
        <v>63364913</v>
      </c>
      <c r="H19" s="1">
        <f t="shared" si="3"/>
        <v>58798390</v>
      </c>
      <c r="I19" s="1">
        <v>836916</v>
      </c>
      <c r="J19" s="1">
        <v>64256</v>
      </c>
      <c r="K19" s="1">
        <v>901172</v>
      </c>
      <c r="L19" s="1">
        <v>49774219</v>
      </c>
      <c r="M19" s="1">
        <v>17006831</v>
      </c>
      <c r="N19" s="1">
        <v>66781050</v>
      </c>
      <c r="O19" s="1">
        <v>61629864</v>
      </c>
      <c r="P19" s="1">
        <v>20355959</v>
      </c>
      <c r="Q19" s="1">
        <v>81985822</v>
      </c>
      <c r="R19">
        <v>80.760000000000005</v>
      </c>
      <c r="S19">
        <v>83.55</v>
      </c>
      <c r="T19">
        <v>81.45</v>
      </c>
      <c r="U19" s="2">
        <f t="shared" si="1"/>
        <v>38139</v>
      </c>
      <c r="V19" t="str">
        <f t="shared" si="2"/>
        <v>Summer</v>
      </c>
    </row>
    <row r="20" spans="1:22" x14ac:dyDescent="0.35">
      <c r="A20">
        <v>2004</v>
      </c>
      <c r="B20">
        <v>7</v>
      </c>
      <c r="C20" t="str">
        <f t="shared" si="0"/>
        <v>Summer</v>
      </c>
      <c r="D20">
        <f>IF(G20 &gt;= Table4[[#Totals],[Pax]], 1, 0)</f>
        <v>1</v>
      </c>
      <c r="E20" s="1">
        <v>59614287</v>
      </c>
      <c r="F20" s="1">
        <v>7183275</v>
      </c>
      <c r="G20" s="1">
        <v>66797562</v>
      </c>
      <c r="H20" s="1">
        <f t="shared" si="3"/>
        <v>63364913</v>
      </c>
      <c r="I20" s="1">
        <v>871049</v>
      </c>
      <c r="J20" s="1">
        <v>69890</v>
      </c>
      <c r="K20" s="1">
        <v>940939</v>
      </c>
      <c r="L20" s="1">
        <v>52730292</v>
      </c>
      <c r="M20" s="1">
        <v>18182782</v>
      </c>
      <c r="N20" s="1">
        <v>70913074</v>
      </c>
      <c r="O20" s="1">
        <v>64095669</v>
      </c>
      <c r="P20" s="1">
        <v>21731193</v>
      </c>
      <c r="Q20" s="1">
        <v>85826863</v>
      </c>
      <c r="R20">
        <v>82.27</v>
      </c>
      <c r="S20">
        <v>83.67</v>
      </c>
      <c r="T20">
        <v>82.62</v>
      </c>
      <c r="U20" s="2">
        <f t="shared" si="1"/>
        <v>38169</v>
      </c>
      <c r="V20" t="str">
        <f t="shared" si="2"/>
        <v>Summer</v>
      </c>
    </row>
    <row r="21" spans="1:22" x14ac:dyDescent="0.35">
      <c r="A21">
        <v>2004</v>
      </c>
      <c r="B21">
        <v>8</v>
      </c>
      <c r="C21" t="str">
        <f t="shared" si="0"/>
        <v>Summer</v>
      </c>
      <c r="D21">
        <f>IF(G21 &gt;= Table4[[#Totals],[Pax]], 1, 0)</f>
        <v>1</v>
      </c>
      <c r="E21" s="1">
        <v>57380873</v>
      </c>
      <c r="F21" s="1">
        <v>6986797</v>
      </c>
      <c r="G21" s="1">
        <v>64367670</v>
      </c>
      <c r="H21" s="1">
        <f t="shared" si="3"/>
        <v>66797562</v>
      </c>
      <c r="I21" s="1">
        <v>882979</v>
      </c>
      <c r="J21" s="1">
        <v>68332</v>
      </c>
      <c r="K21" s="1">
        <v>951311</v>
      </c>
      <c r="L21" s="1">
        <v>50816430</v>
      </c>
      <c r="M21" s="1">
        <v>17760431</v>
      </c>
      <c r="N21" s="1">
        <v>68576861</v>
      </c>
      <c r="O21" s="1">
        <v>64479721</v>
      </c>
      <c r="P21" s="1">
        <v>21640665</v>
      </c>
      <c r="Q21" s="1">
        <v>86120386</v>
      </c>
      <c r="R21">
        <v>78.81</v>
      </c>
      <c r="S21">
        <v>82.07</v>
      </c>
      <c r="T21">
        <v>79.63</v>
      </c>
      <c r="U21" s="2">
        <f t="shared" si="1"/>
        <v>38200</v>
      </c>
      <c r="V21" t="str">
        <f t="shared" si="2"/>
        <v>Summer</v>
      </c>
    </row>
    <row r="22" spans="1:22" x14ac:dyDescent="0.35">
      <c r="A22">
        <v>2004</v>
      </c>
      <c r="B22">
        <v>9</v>
      </c>
      <c r="C22" t="str">
        <f t="shared" si="0"/>
        <v>Fall</v>
      </c>
      <c r="D22">
        <f>IF(G22 &gt;= Table4[[#Totals],[Pax]], 1, 0)</f>
        <v>0</v>
      </c>
      <c r="E22" s="1">
        <v>47671785</v>
      </c>
      <c r="F22" s="1">
        <v>5396245</v>
      </c>
      <c r="G22" s="1">
        <v>53068030</v>
      </c>
      <c r="H22" s="1">
        <f t="shared" si="3"/>
        <v>64367670</v>
      </c>
      <c r="I22" s="1">
        <v>819294</v>
      </c>
      <c r="J22" s="1">
        <v>56541</v>
      </c>
      <c r="K22" s="1">
        <v>875835</v>
      </c>
      <c r="L22" s="1">
        <v>40644161</v>
      </c>
      <c r="M22" s="1">
        <v>15247819</v>
      </c>
      <c r="N22" s="1">
        <v>55891980</v>
      </c>
      <c r="O22" s="1">
        <v>57694884</v>
      </c>
      <c r="P22" s="1">
        <v>19502122</v>
      </c>
      <c r="Q22" s="1">
        <v>77197006</v>
      </c>
      <c r="R22">
        <v>70.45</v>
      </c>
      <c r="S22">
        <v>78.19</v>
      </c>
      <c r="T22">
        <v>72.400000000000006</v>
      </c>
      <c r="U22" s="2">
        <f t="shared" si="1"/>
        <v>38231</v>
      </c>
      <c r="V22" t="str">
        <f t="shared" si="2"/>
        <v>Fall</v>
      </c>
    </row>
    <row r="23" spans="1:22" x14ac:dyDescent="0.35">
      <c r="A23">
        <v>2004</v>
      </c>
      <c r="B23">
        <v>10</v>
      </c>
      <c r="C23" t="str">
        <f t="shared" si="0"/>
        <v>Fall</v>
      </c>
      <c r="D23">
        <f>IF(G23 &gt;= Table4[[#Totals],[Pax]], 1, 0)</f>
        <v>0</v>
      </c>
      <c r="E23" s="1">
        <v>54167489</v>
      </c>
      <c r="F23" s="1">
        <v>5629964</v>
      </c>
      <c r="G23" s="1">
        <v>59797453</v>
      </c>
      <c r="H23" s="1">
        <f t="shared" si="3"/>
        <v>53068030</v>
      </c>
      <c r="I23" s="1">
        <v>861291</v>
      </c>
      <c r="J23" s="1">
        <v>58659</v>
      </c>
      <c r="K23" s="1">
        <v>919950</v>
      </c>
      <c r="L23" s="1">
        <v>45765588</v>
      </c>
      <c r="M23" s="1">
        <v>15384002</v>
      </c>
      <c r="N23" s="1">
        <v>61149590</v>
      </c>
      <c r="O23" s="1">
        <v>61604719</v>
      </c>
      <c r="P23" s="1">
        <v>19883889</v>
      </c>
      <c r="Q23" s="1">
        <v>81488607</v>
      </c>
      <c r="R23">
        <v>74.290000000000006</v>
      </c>
      <c r="S23">
        <v>77.37</v>
      </c>
      <c r="T23">
        <v>75.040000000000006</v>
      </c>
      <c r="U23" s="2">
        <f t="shared" si="1"/>
        <v>38261</v>
      </c>
      <c r="V23" t="str">
        <f t="shared" si="2"/>
        <v>Fall</v>
      </c>
    </row>
    <row r="24" spans="1:22" x14ac:dyDescent="0.35">
      <c r="A24">
        <v>2004</v>
      </c>
      <c r="B24">
        <v>11</v>
      </c>
      <c r="C24" t="str">
        <f t="shared" si="0"/>
        <v>Fall</v>
      </c>
      <c r="D24">
        <f>IF(G24 &gt;= Table4[[#Totals],[Pax]], 1, 0)</f>
        <v>0</v>
      </c>
      <c r="E24" s="1">
        <v>51781700</v>
      </c>
      <c r="F24" s="1">
        <v>5384214</v>
      </c>
      <c r="G24" s="1">
        <v>57165914</v>
      </c>
      <c r="H24" s="1">
        <f t="shared" si="3"/>
        <v>59797453</v>
      </c>
      <c r="I24" s="1">
        <v>820048</v>
      </c>
      <c r="J24" s="1">
        <v>58312</v>
      </c>
      <c r="K24" s="1">
        <v>878360</v>
      </c>
      <c r="L24" s="1">
        <v>43561708</v>
      </c>
      <c r="M24" s="1">
        <v>14118725</v>
      </c>
      <c r="N24" s="1">
        <v>57680434</v>
      </c>
      <c r="O24" s="1">
        <v>59431353</v>
      </c>
      <c r="P24" s="1">
        <v>18848375</v>
      </c>
      <c r="Q24" s="1">
        <v>78279728</v>
      </c>
      <c r="R24">
        <v>73.3</v>
      </c>
      <c r="S24">
        <v>74.91</v>
      </c>
      <c r="T24">
        <v>73.69</v>
      </c>
      <c r="U24" s="2">
        <f t="shared" si="1"/>
        <v>38292</v>
      </c>
      <c r="V24" t="str">
        <f t="shared" si="2"/>
        <v>Fall</v>
      </c>
    </row>
    <row r="25" spans="1:22" x14ac:dyDescent="0.35">
      <c r="A25">
        <v>2004</v>
      </c>
      <c r="B25">
        <v>12</v>
      </c>
      <c r="C25" t="str">
        <f t="shared" si="0"/>
        <v>Fall</v>
      </c>
      <c r="D25">
        <f>IF(G25 &gt;= Table4[[#Totals],[Pax]], 1, 0)</f>
        <v>0</v>
      </c>
      <c r="E25" s="1">
        <v>52639838</v>
      </c>
      <c r="F25" s="1">
        <v>6041853</v>
      </c>
      <c r="G25" s="1">
        <v>58681691</v>
      </c>
      <c r="H25" s="1">
        <f t="shared" si="3"/>
        <v>57165914</v>
      </c>
      <c r="I25" s="1">
        <v>836232</v>
      </c>
      <c r="J25" s="1">
        <v>63469</v>
      </c>
      <c r="K25" s="1">
        <v>899701</v>
      </c>
      <c r="L25" s="1">
        <v>45181080</v>
      </c>
      <c r="M25" s="1">
        <v>15523403</v>
      </c>
      <c r="N25" s="1">
        <v>60704483</v>
      </c>
      <c r="O25" s="1">
        <v>62054841</v>
      </c>
      <c r="P25" s="1">
        <v>20254013</v>
      </c>
      <c r="Q25" s="1">
        <v>82308853</v>
      </c>
      <c r="R25">
        <v>72.81</v>
      </c>
      <c r="S25">
        <v>76.64</v>
      </c>
      <c r="T25">
        <v>73.75</v>
      </c>
      <c r="U25" s="2">
        <f t="shared" si="1"/>
        <v>38322</v>
      </c>
      <c r="V25" t="str">
        <f t="shared" si="2"/>
        <v>Winter</v>
      </c>
    </row>
    <row r="26" spans="1:22" x14ac:dyDescent="0.35">
      <c r="A26">
        <v>2005</v>
      </c>
      <c r="B26">
        <v>1</v>
      </c>
      <c r="C26" t="str">
        <f t="shared" si="0"/>
        <v>Winter</v>
      </c>
      <c r="D26">
        <f>IF(G26 &gt;= Table4[[#Totals],[Pax]], 1, 0)</f>
        <v>0</v>
      </c>
      <c r="E26" s="1">
        <v>47977657</v>
      </c>
      <c r="F26" s="1">
        <v>6158509</v>
      </c>
      <c r="G26" s="1">
        <v>54136166</v>
      </c>
      <c r="H26" s="1">
        <f t="shared" si="3"/>
        <v>58681691</v>
      </c>
      <c r="I26" s="1">
        <v>807338</v>
      </c>
      <c r="J26" s="1">
        <v>64803</v>
      </c>
      <c r="K26" s="1">
        <v>872141</v>
      </c>
      <c r="L26" s="1">
        <v>41609095</v>
      </c>
      <c r="M26" s="1">
        <v>15580719</v>
      </c>
      <c r="N26" s="1">
        <v>57189815</v>
      </c>
      <c r="O26" s="1">
        <v>59580514</v>
      </c>
      <c r="P26" s="1">
        <v>20571388</v>
      </c>
      <c r="Q26" s="1">
        <v>80151902</v>
      </c>
      <c r="R26">
        <v>69.84</v>
      </c>
      <c r="S26">
        <v>75.739999999999995</v>
      </c>
      <c r="T26">
        <v>71.349999999999994</v>
      </c>
      <c r="U26" s="2">
        <f t="shared" si="1"/>
        <v>38353</v>
      </c>
      <c r="V26" t="str">
        <f t="shared" si="2"/>
        <v>Winter</v>
      </c>
    </row>
    <row r="27" spans="1:22" x14ac:dyDescent="0.35">
      <c r="A27">
        <v>2005</v>
      </c>
      <c r="B27">
        <v>2</v>
      </c>
      <c r="C27" t="str">
        <f t="shared" si="0"/>
        <v>Winter</v>
      </c>
      <c r="D27">
        <f>IF(G27 &gt;= Table4[[#Totals],[Pax]], 1, 0)</f>
        <v>0</v>
      </c>
      <c r="E27" s="1">
        <v>47074882</v>
      </c>
      <c r="F27" s="1">
        <v>5499590</v>
      </c>
      <c r="G27" s="1">
        <v>52574472</v>
      </c>
      <c r="H27" s="1">
        <f t="shared" si="3"/>
        <v>54136166</v>
      </c>
      <c r="I27" s="1">
        <v>760955</v>
      </c>
      <c r="J27" s="1">
        <v>59351</v>
      </c>
      <c r="K27" s="1">
        <v>820306</v>
      </c>
      <c r="L27" s="1">
        <v>40114944</v>
      </c>
      <c r="M27" s="1">
        <v>13470430</v>
      </c>
      <c r="N27" s="1">
        <v>53585374</v>
      </c>
      <c r="O27" s="1">
        <v>55964342</v>
      </c>
      <c r="P27" s="1">
        <v>18651403</v>
      </c>
      <c r="Q27" s="1">
        <v>74615745</v>
      </c>
      <c r="R27">
        <v>71.680000000000007</v>
      </c>
      <c r="S27">
        <v>72.22</v>
      </c>
      <c r="T27">
        <v>71.819999999999993</v>
      </c>
      <c r="U27" s="2">
        <f t="shared" si="1"/>
        <v>38384</v>
      </c>
      <c r="V27" t="str">
        <f t="shared" si="2"/>
        <v>Winter</v>
      </c>
    </row>
    <row r="28" spans="1:22" x14ac:dyDescent="0.35">
      <c r="A28">
        <v>2005</v>
      </c>
      <c r="B28">
        <v>3</v>
      </c>
      <c r="C28" t="str">
        <f t="shared" si="0"/>
        <v>Spring</v>
      </c>
      <c r="D28">
        <f>IF(G28 &gt;= Table4[[#Totals],[Pax]], 1, 0)</f>
        <v>1</v>
      </c>
      <c r="E28" s="1">
        <v>58838975</v>
      </c>
      <c r="F28" s="1">
        <v>6964313</v>
      </c>
      <c r="G28" s="1">
        <v>65803288</v>
      </c>
      <c r="H28" s="1">
        <f t="shared" si="3"/>
        <v>52574472</v>
      </c>
      <c r="I28" s="1">
        <v>866593</v>
      </c>
      <c r="J28" s="1">
        <v>68802</v>
      </c>
      <c r="K28" s="1">
        <v>935395</v>
      </c>
      <c r="L28" s="1">
        <v>50789921</v>
      </c>
      <c r="M28" s="1">
        <v>17293704</v>
      </c>
      <c r="N28" s="1">
        <v>68083625</v>
      </c>
      <c r="O28" s="1">
        <v>63743171</v>
      </c>
      <c r="P28" s="1">
        <v>21201138</v>
      </c>
      <c r="Q28" s="1">
        <v>84944309</v>
      </c>
      <c r="R28">
        <v>79.680000000000007</v>
      </c>
      <c r="S28">
        <v>81.569999999999993</v>
      </c>
      <c r="T28">
        <v>80.150000000000006</v>
      </c>
      <c r="U28" s="2">
        <f t="shared" si="1"/>
        <v>38412</v>
      </c>
      <c r="V28" t="str">
        <f t="shared" si="2"/>
        <v>Spring</v>
      </c>
    </row>
    <row r="29" spans="1:22" x14ac:dyDescent="0.35">
      <c r="A29">
        <v>2005</v>
      </c>
      <c r="B29">
        <v>4</v>
      </c>
      <c r="C29" t="str">
        <f t="shared" si="0"/>
        <v>Spring</v>
      </c>
      <c r="D29">
        <f>IF(G29 &gt;= Table4[[#Totals],[Pax]], 1, 0)</f>
        <v>0</v>
      </c>
      <c r="E29" s="1">
        <v>54908859</v>
      </c>
      <c r="F29" s="1">
        <v>6388741</v>
      </c>
      <c r="G29" s="1">
        <v>61297600</v>
      </c>
      <c r="H29" s="1">
        <f t="shared" si="3"/>
        <v>65803288</v>
      </c>
      <c r="I29" s="1">
        <v>838122</v>
      </c>
      <c r="J29" s="1">
        <v>66430</v>
      </c>
      <c r="K29" s="1">
        <v>904552</v>
      </c>
      <c r="L29" s="1">
        <v>47002623</v>
      </c>
      <c r="M29" s="1">
        <v>16218686</v>
      </c>
      <c r="N29" s="1">
        <v>63221309</v>
      </c>
      <c r="O29" s="1">
        <v>61262216</v>
      </c>
      <c r="P29" s="1">
        <v>20990887</v>
      </c>
      <c r="Q29" s="1">
        <v>82253103</v>
      </c>
      <c r="R29">
        <v>76.72</v>
      </c>
      <c r="S29">
        <v>77.27</v>
      </c>
      <c r="T29">
        <v>76.86</v>
      </c>
      <c r="U29" s="2">
        <f t="shared" si="1"/>
        <v>38443</v>
      </c>
      <c r="V29" t="str">
        <f t="shared" si="2"/>
        <v>Spring</v>
      </c>
    </row>
    <row r="30" spans="1:22" x14ac:dyDescent="0.35">
      <c r="A30">
        <v>2005</v>
      </c>
      <c r="B30">
        <v>5</v>
      </c>
      <c r="C30" t="str">
        <f t="shared" si="0"/>
        <v>Spring</v>
      </c>
      <c r="D30">
        <f>IF(G30 &gt;= Table4[[#Totals],[Pax]], 1, 0)</f>
        <v>1</v>
      </c>
      <c r="E30" s="1">
        <v>57323876</v>
      </c>
      <c r="F30" s="1">
        <v>6575254</v>
      </c>
      <c r="G30" s="1">
        <v>63899130</v>
      </c>
      <c r="H30" s="1">
        <f t="shared" si="3"/>
        <v>61297600</v>
      </c>
      <c r="I30" s="1">
        <v>872961</v>
      </c>
      <c r="J30" s="1">
        <v>68225</v>
      </c>
      <c r="K30" s="1">
        <v>941186</v>
      </c>
      <c r="L30" s="1">
        <v>49016422</v>
      </c>
      <c r="M30" s="1">
        <v>17394296</v>
      </c>
      <c r="N30" s="1">
        <v>66410718</v>
      </c>
      <c r="O30" s="1">
        <v>63160148</v>
      </c>
      <c r="P30" s="1">
        <v>21943039</v>
      </c>
      <c r="Q30" s="1">
        <v>85103187</v>
      </c>
      <c r="R30">
        <v>77.61</v>
      </c>
      <c r="S30">
        <v>79.27</v>
      </c>
      <c r="T30">
        <v>78.040000000000006</v>
      </c>
      <c r="U30" s="2">
        <f t="shared" si="1"/>
        <v>38473</v>
      </c>
      <c r="V30" t="str">
        <f t="shared" si="2"/>
        <v>Spring</v>
      </c>
    </row>
    <row r="31" spans="1:22" x14ac:dyDescent="0.35">
      <c r="A31">
        <v>2005</v>
      </c>
      <c r="B31">
        <v>6</v>
      </c>
      <c r="C31" t="str">
        <f t="shared" si="0"/>
        <v>Summer</v>
      </c>
      <c r="D31">
        <f>IF(G31 &gt;= Table4[[#Totals],[Pax]], 1, 0)</f>
        <v>1</v>
      </c>
      <c r="E31" s="1">
        <v>59724061</v>
      </c>
      <c r="F31" s="1">
        <v>7123126</v>
      </c>
      <c r="G31" s="1">
        <v>66847187</v>
      </c>
      <c r="H31" s="1">
        <f t="shared" si="3"/>
        <v>63899130</v>
      </c>
      <c r="I31" s="1">
        <v>863422</v>
      </c>
      <c r="J31" s="1">
        <v>69814</v>
      </c>
      <c r="K31" s="1">
        <v>933236</v>
      </c>
      <c r="L31" s="1">
        <v>52181786</v>
      </c>
      <c r="M31" s="1">
        <v>18750411</v>
      </c>
      <c r="N31" s="1">
        <v>70932197</v>
      </c>
      <c r="O31" s="1">
        <v>63378463</v>
      </c>
      <c r="P31" s="1">
        <v>22373102</v>
      </c>
      <c r="Q31" s="1">
        <v>85751565</v>
      </c>
      <c r="R31">
        <v>82.33</v>
      </c>
      <c r="S31">
        <v>83.81</v>
      </c>
      <c r="T31">
        <v>82.72</v>
      </c>
      <c r="U31" s="2">
        <f t="shared" si="1"/>
        <v>38504</v>
      </c>
      <c r="V31" t="str">
        <f t="shared" si="2"/>
        <v>Summer</v>
      </c>
    </row>
    <row r="32" spans="1:22" x14ac:dyDescent="0.35">
      <c r="A32">
        <v>2005</v>
      </c>
      <c r="B32">
        <v>7</v>
      </c>
      <c r="C32" t="str">
        <f t="shared" si="0"/>
        <v>Summer</v>
      </c>
      <c r="D32">
        <f>IF(G32 &gt;= Table4[[#Totals],[Pax]], 1, 0)</f>
        <v>1</v>
      </c>
      <c r="E32" s="1">
        <v>62396446</v>
      </c>
      <c r="F32" s="1">
        <v>7867346</v>
      </c>
      <c r="G32" s="1">
        <v>70263792</v>
      </c>
      <c r="H32" s="1">
        <f t="shared" si="3"/>
        <v>66847187</v>
      </c>
      <c r="I32" s="1">
        <v>887084</v>
      </c>
      <c r="J32" s="1">
        <v>74818</v>
      </c>
      <c r="K32" s="1">
        <v>961902</v>
      </c>
      <c r="L32" s="1">
        <v>55290372</v>
      </c>
      <c r="M32" s="1">
        <v>20037449</v>
      </c>
      <c r="N32" s="1">
        <v>75327821</v>
      </c>
      <c r="O32" s="1">
        <v>65813398</v>
      </c>
      <c r="P32" s="1">
        <v>23792009</v>
      </c>
      <c r="Q32" s="1">
        <v>89605407</v>
      </c>
      <c r="R32">
        <v>84.01</v>
      </c>
      <c r="S32">
        <v>84.22</v>
      </c>
      <c r="T32">
        <v>84.07</v>
      </c>
      <c r="U32" s="2">
        <f t="shared" si="1"/>
        <v>38534</v>
      </c>
      <c r="V32" t="str">
        <f t="shared" si="2"/>
        <v>Summer</v>
      </c>
    </row>
    <row r="33" spans="1:22" x14ac:dyDescent="0.35">
      <c r="A33">
        <v>2005</v>
      </c>
      <c r="B33">
        <v>8</v>
      </c>
      <c r="C33" t="str">
        <f t="shared" si="0"/>
        <v>Summer</v>
      </c>
      <c r="D33">
        <f>IF(G33 &gt;= Table4[[#Totals],[Pax]], 1, 0)</f>
        <v>1</v>
      </c>
      <c r="E33" s="1">
        <v>59110633</v>
      </c>
      <c r="F33" s="1">
        <v>7419187</v>
      </c>
      <c r="G33" s="1">
        <v>66529820</v>
      </c>
      <c r="H33" s="1">
        <f t="shared" si="3"/>
        <v>70263792</v>
      </c>
      <c r="I33" s="1">
        <v>890938</v>
      </c>
      <c r="J33" s="1">
        <v>73164</v>
      </c>
      <c r="K33" s="1">
        <v>964102</v>
      </c>
      <c r="L33" s="1">
        <v>52510003</v>
      </c>
      <c r="M33" s="1">
        <v>19205090</v>
      </c>
      <c r="N33" s="1">
        <v>71715093</v>
      </c>
      <c r="O33" s="1">
        <v>65309256</v>
      </c>
      <c r="P33" s="1">
        <v>23418626</v>
      </c>
      <c r="Q33" s="1">
        <v>88727882</v>
      </c>
      <c r="R33">
        <v>80.400000000000006</v>
      </c>
      <c r="S33">
        <v>82.01</v>
      </c>
      <c r="T33">
        <v>80.83</v>
      </c>
      <c r="U33" s="2">
        <f t="shared" si="1"/>
        <v>38565</v>
      </c>
      <c r="V33" t="str">
        <f t="shared" si="2"/>
        <v>Summer</v>
      </c>
    </row>
    <row r="34" spans="1:22" x14ac:dyDescent="0.35">
      <c r="A34">
        <v>2005</v>
      </c>
      <c r="B34">
        <v>9</v>
      </c>
      <c r="C34" t="str">
        <f t="shared" si="0"/>
        <v>Fall</v>
      </c>
      <c r="D34">
        <f>IF(G34 &gt;= Table4[[#Totals],[Pax]], 1, 0)</f>
        <v>0</v>
      </c>
      <c r="E34" s="1">
        <v>50600325</v>
      </c>
      <c r="F34" s="1">
        <v>5933841</v>
      </c>
      <c r="G34" s="1">
        <v>56534166</v>
      </c>
      <c r="H34" s="1">
        <f t="shared" si="3"/>
        <v>66529820</v>
      </c>
      <c r="I34" s="1">
        <v>814935</v>
      </c>
      <c r="J34" s="1">
        <v>61812</v>
      </c>
      <c r="K34" s="1">
        <v>876747</v>
      </c>
      <c r="L34" s="1">
        <v>43524915</v>
      </c>
      <c r="M34" s="1">
        <v>16631990</v>
      </c>
      <c r="N34" s="1">
        <v>60156904</v>
      </c>
      <c r="O34" s="1">
        <v>58674828</v>
      </c>
      <c r="P34" s="1">
        <v>21425051</v>
      </c>
      <c r="Q34" s="1">
        <v>80099879</v>
      </c>
      <c r="R34">
        <v>74.180000000000007</v>
      </c>
      <c r="S34">
        <v>77.63</v>
      </c>
      <c r="T34">
        <v>75.099999999999994</v>
      </c>
      <c r="U34" s="2">
        <f t="shared" si="1"/>
        <v>38596</v>
      </c>
      <c r="V34" t="str">
        <f t="shared" si="2"/>
        <v>Fall</v>
      </c>
    </row>
    <row r="35" spans="1:22" x14ac:dyDescent="0.35">
      <c r="A35">
        <v>2005</v>
      </c>
      <c r="B35">
        <v>10</v>
      </c>
      <c r="C35" t="str">
        <f t="shared" si="0"/>
        <v>Fall</v>
      </c>
      <c r="D35">
        <f>IF(G35 &gt;= Table4[[#Totals],[Pax]], 1, 0)</f>
        <v>0</v>
      </c>
      <c r="E35" s="1">
        <v>53738093</v>
      </c>
      <c r="F35" s="1">
        <v>5873755</v>
      </c>
      <c r="G35" s="1">
        <v>59611848</v>
      </c>
      <c r="H35" s="1">
        <f t="shared" si="3"/>
        <v>56534166</v>
      </c>
      <c r="I35" s="1">
        <v>831265</v>
      </c>
      <c r="J35" s="1">
        <v>61017</v>
      </c>
      <c r="K35" s="1">
        <v>892282</v>
      </c>
      <c r="L35" s="1">
        <v>45895538</v>
      </c>
      <c r="M35" s="1">
        <v>16089364</v>
      </c>
      <c r="N35" s="1">
        <v>61984902</v>
      </c>
      <c r="O35" s="1">
        <v>60392331</v>
      </c>
      <c r="P35" s="1">
        <v>21033727</v>
      </c>
      <c r="Q35" s="1">
        <v>81426057</v>
      </c>
      <c r="R35">
        <v>76</v>
      </c>
      <c r="S35">
        <v>76.489999999999995</v>
      </c>
      <c r="T35">
        <v>76.12</v>
      </c>
      <c r="U35" s="2">
        <f t="shared" si="1"/>
        <v>38626</v>
      </c>
      <c r="V35" t="str">
        <f t="shared" si="2"/>
        <v>Fall</v>
      </c>
    </row>
    <row r="36" spans="1:22" x14ac:dyDescent="0.35">
      <c r="A36">
        <v>2005</v>
      </c>
      <c r="B36">
        <v>11</v>
      </c>
      <c r="C36" t="str">
        <f t="shared" si="0"/>
        <v>Fall</v>
      </c>
      <c r="D36">
        <f>IF(G36 &gt;= Table4[[#Totals],[Pax]], 1, 0)</f>
        <v>0</v>
      </c>
      <c r="E36" s="1">
        <v>52766404</v>
      </c>
      <c r="F36" s="1">
        <v>5644497</v>
      </c>
      <c r="G36" s="1">
        <v>58410901</v>
      </c>
      <c r="H36" s="1">
        <f t="shared" si="3"/>
        <v>59611848</v>
      </c>
      <c r="I36" s="1">
        <v>797460</v>
      </c>
      <c r="J36" s="1">
        <v>59265</v>
      </c>
      <c r="K36" s="1">
        <v>856725</v>
      </c>
      <c r="L36" s="1">
        <v>45109831</v>
      </c>
      <c r="M36" s="1">
        <v>14771787</v>
      </c>
      <c r="N36" s="1">
        <v>59881618</v>
      </c>
      <c r="O36" s="1">
        <v>58886853</v>
      </c>
      <c r="P36" s="1">
        <v>19401869</v>
      </c>
      <c r="Q36" s="1">
        <v>78288722</v>
      </c>
      <c r="R36">
        <v>76.599999999999994</v>
      </c>
      <c r="S36">
        <v>76.14</v>
      </c>
      <c r="T36">
        <v>76.489999999999995</v>
      </c>
      <c r="U36" s="2">
        <f t="shared" si="1"/>
        <v>38657</v>
      </c>
      <c r="V36" t="str">
        <f t="shared" si="2"/>
        <v>Fall</v>
      </c>
    </row>
    <row r="37" spans="1:22" x14ac:dyDescent="0.35">
      <c r="A37">
        <v>2005</v>
      </c>
      <c r="B37">
        <v>12</v>
      </c>
      <c r="C37" t="str">
        <f t="shared" si="0"/>
        <v>Fall</v>
      </c>
      <c r="D37">
        <f>IF(G37 &gt;= Table4[[#Totals],[Pax]], 1, 0)</f>
        <v>0</v>
      </c>
      <c r="E37" s="1">
        <v>52801276</v>
      </c>
      <c r="F37" s="1">
        <v>6395022</v>
      </c>
      <c r="G37" s="1">
        <v>59196298</v>
      </c>
      <c r="H37" s="1">
        <f t="shared" si="3"/>
        <v>58410901</v>
      </c>
      <c r="I37" s="1">
        <v>802067</v>
      </c>
      <c r="J37" s="1">
        <v>65240</v>
      </c>
      <c r="K37" s="1">
        <v>867307</v>
      </c>
      <c r="L37" s="1">
        <v>46190194</v>
      </c>
      <c r="M37" s="1">
        <v>16339078</v>
      </c>
      <c r="N37" s="1">
        <v>62529273</v>
      </c>
      <c r="O37" s="1">
        <v>60889086</v>
      </c>
      <c r="P37" s="1">
        <v>21153995</v>
      </c>
      <c r="Q37" s="1">
        <v>82043081</v>
      </c>
      <c r="R37">
        <v>75.86</v>
      </c>
      <c r="S37">
        <v>77.239999999999995</v>
      </c>
      <c r="T37">
        <v>76.22</v>
      </c>
      <c r="U37" s="2">
        <f t="shared" si="1"/>
        <v>38687</v>
      </c>
      <c r="V37" t="str">
        <f t="shared" si="2"/>
        <v>Winter</v>
      </c>
    </row>
    <row r="38" spans="1:22" x14ac:dyDescent="0.35">
      <c r="A38">
        <v>2006</v>
      </c>
      <c r="B38">
        <v>1</v>
      </c>
      <c r="C38" t="str">
        <f t="shared" si="0"/>
        <v>Winter</v>
      </c>
      <c r="D38">
        <f>IF(G38 &gt;= Table4[[#Totals],[Pax]], 1, 0)</f>
        <v>0</v>
      </c>
      <c r="E38" s="1">
        <v>48886043</v>
      </c>
      <c r="F38" s="1">
        <v>6402933</v>
      </c>
      <c r="G38" s="1">
        <v>55288976</v>
      </c>
      <c r="H38" s="1">
        <f t="shared" si="3"/>
        <v>59196298</v>
      </c>
      <c r="I38" s="1">
        <v>785364</v>
      </c>
      <c r="J38" s="1">
        <v>66236</v>
      </c>
      <c r="K38" s="1">
        <v>851600</v>
      </c>
      <c r="L38" s="1">
        <v>42966268</v>
      </c>
      <c r="M38" s="1">
        <v>16157877</v>
      </c>
      <c r="N38" s="1">
        <v>59124144</v>
      </c>
      <c r="O38" s="1">
        <v>59096204</v>
      </c>
      <c r="P38" s="1">
        <v>21396430</v>
      </c>
      <c r="Q38" s="1">
        <v>80492634</v>
      </c>
      <c r="R38">
        <v>72.709999999999994</v>
      </c>
      <c r="S38">
        <v>75.52</v>
      </c>
      <c r="T38">
        <v>73.45</v>
      </c>
      <c r="U38" s="2">
        <f t="shared" si="1"/>
        <v>38718</v>
      </c>
      <c r="V38" t="str">
        <f t="shared" si="2"/>
        <v>Winter</v>
      </c>
    </row>
    <row r="39" spans="1:22" x14ac:dyDescent="0.35">
      <c r="A39">
        <v>2006</v>
      </c>
      <c r="B39">
        <v>2</v>
      </c>
      <c r="C39" t="str">
        <f t="shared" si="0"/>
        <v>Winter</v>
      </c>
      <c r="D39">
        <f>IF(G39 &gt;= Table4[[#Totals],[Pax]], 1, 0)</f>
        <v>0</v>
      </c>
      <c r="E39" s="1">
        <v>47348142</v>
      </c>
      <c r="F39" s="1">
        <v>5706909</v>
      </c>
      <c r="G39" s="1">
        <v>53055051</v>
      </c>
      <c r="H39" s="1">
        <f t="shared" si="3"/>
        <v>55288976</v>
      </c>
      <c r="I39" s="1">
        <v>715843</v>
      </c>
      <c r="J39" s="1">
        <v>60661</v>
      </c>
      <c r="K39" s="1">
        <v>776504</v>
      </c>
      <c r="L39" s="1">
        <v>40927215</v>
      </c>
      <c r="M39" s="1">
        <v>13913445</v>
      </c>
      <c r="N39" s="1">
        <v>54840660</v>
      </c>
      <c r="O39" s="1">
        <v>53733108</v>
      </c>
      <c r="P39" s="1">
        <v>19241787</v>
      </c>
      <c r="Q39" s="1">
        <v>72974894</v>
      </c>
      <c r="R39">
        <v>76.17</v>
      </c>
      <c r="S39">
        <v>72.31</v>
      </c>
      <c r="T39">
        <v>75.150000000000006</v>
      </c>
      <c r="U39" s="2">
        <f t="shared" si="1"/>
        <v>38749</v>
      </c>
      <c r="V39" t="str">
        <f t="shared" si="2"/>
        <v>Winter</v>
      </c>
    </row>
    <row r="40" spans="1:22" x14ac:dyDescent="0.35">
      <c r="A40">
        <v>2006</v>
      </c>
      <c r="B40">
        <v>3</v>
      </c>
      <c r="C40" t="str">
        <f t="shared" si="0"/>
        <v>Spring</v>
      </c>
      <c r="D40">
        <f>IF(G40 &gt;= Table4[[#Totals],[Pax]], 1, 0)</f>
        <v>1</v>
      </c>
      <c r="E40" s="1">
        <v>58286011</v>
      </c>
      <c r="F40" s="1">
        <v>7221839</v>
      </c>
      <c r="G40" s="1">
        <v>65507850</v>
      </c>
      <c r="H40" s="1">
        <f t="shared" si="3"/>
        <v>53055051</v>
      </c>
      <c r="I40" s="1">
        <v>823793</v>
      </c>
      <c r="J40" s="1">
        <v>70264</v>
      </c>
      <c r="K40" s="1">
        <v>894057</v>
      </c>
      <c r="L40" s="1">
        <v>50693391</v>
      </c>
      <c r="M40" s="1">
        <v>18095206</v>
      </c>
      <c r="N40" s="1">
        <v>68788597</v>
      </c>
      <c r="O40" s="1">
        <v>62257065</v>
      </c>
      <c r="P40" s="1">
        <v>22367092</v>
      </c>
      <c r="Q40" s="1">
        <v>84624157</v>
      </c>
      <c r="R40">
        <v>81.430000000000007</v>
      </c>
      <c r="S40">
        <v>80.900000000000006</v>
      </c>
      <c r="T40">
        <v>81.290000000000006</v>
      </c>
      <c r="U40" s="2">
        <f t="shared" si="1"/>
        <v>38777</v>
      </c>
      <c r="V40" t="str">
        <f t="shared" si="2"/>
        <v>Spring</v>
      </c>
    </row>
    <row r="41" spans="1:22" x14ac:dyDescent="0.35">
      <c r="A41">
        <v>2006</v>
      </c>
      <c r="B41">
        <v>4</v>
      </c>
      <c r="C41" t="str">
        <f t="shared" si="0"/>
        <v>Spring</v>
      </c>
      <c r="D41">
        <f>IF(G41 &gt;= Table4[[#Totals],[Pax]], 1, 0)</f>
        <v>1</v>
      </c>
      <c r="E41" s="1">
        <v>55828555</v>
      </c>
      <c r="F41" s="1">
        <v>7036629</v>
      </c>
      <c r="G41" s="1">
        <v>62865184</v>
      </c>
      <c r="H41" s="1">
        <f t="shared" si="3"/>
        <v>65507850</v>
      </c>
      <c r="I41" s="1">
        <v>794390</v>
      </c>
      <c r="J41" s="1">
        <v>68537</v>
      </c>
      <c r="K41" s="1">
        <v>862927</v>
      </c>
      <c r="L41" s="1">
        <v>48800883</v>
      </c>
      <c r="M41" s="1">
        <v>17685346</v>
      </c>
      <c r="N41" s="1">
        <v>66486229</v>
      </c>
      <c r="O41" s="1">
        <v>59917615</v>
      </c>
      <c r="P41" s="1">
        <v>22246457</v>
      </c>
      <c r="Q41" s="1">
        <v>82164072</v>
      </c>
      <c r="R41">
        <v>81.45</v>
      </c>
      <c r="S41">
        <v>79.5</v>
      </c>
      <c r="T41">
        <v>80.92</v>
      </c>
      <c r="U41" s="2">
        <f t="shared" si="1"/>
        <v>38808</v>
      </c>
      <c r="V41" t="str">
        <f t="shared" si="2"/>
        <v>Spring</v>
      </c>
    </row>
    <row r="42" spans="1:22" x14ac:dyDescent="0.35">
      <c r="A42">
        <v>2006</v>
      </c>
      <c r="B42">
        <v>5</v>
      </c>
      <c r="C42" t="str">
        <f t="shared" si="0"/>
        <v>Spring</v>
      </c>
      <c r="D42">
        <f>IF(G42 &gt;= Table4[[#Totals],[Pax]], 1, 0)</f>
        <v>1</v>
      </c>
      <c r="E42" s="1">
        <v>57145193</v>
      </c>
      <c r="F42" s="1">
        <v>6997054</v>
      </c>
      <c r="G42" s="1">
        <v>64142247</v>
      </c>
      <c r="H42" s="1">
        <f t="shared" si="3"/>
        <v>62865184</v>
      </c>
      <c r="I42" s="1">
        <v>824051</v>
      </c>
      <c r="J42" s="1">
        <v>68676</v>
      </c>
      <c r="K42" s="1">
        <v>892727</v>
      </c>
      <c r="L42" s="1">
        <v>49302219</v>
      </c>
      <c r="M42" s="1">
        <v>18465819</v>
      </c>
      <c r="N42" s="1">
        <v>67768038</v>
      </c>
      <c r="O42" s="1">
        <v>61284297</v>
      </c>
      <c r="P42" s="1">
        <v>23102699</v>
      </c>
      <c r="Q42" s="1">
        <v>84386996</v>
      </c>
      <c r="R42">
        <v>80.45</v>
      </c>
      <c r="S42">
        <v>79.930000000000007</v>
      </c>
      <c r="T42">
        <v>80.31</v>
      </c>
      <c r="U42" s="2">
        <f t="shared" si="1"/>
        <v>38838</v>
      </c>
      <c r="V42" t="str">
        <f t="shared" si="2"/>
        <v>Spring</v>
      </c>
    </row>
    <row r="43" spans="1:22" x14ac:dyDescent="0.35">
      <c r="A43">
        <v>2006</v>
      </c>
      <c r="B43">
        <v>6</v>
      </c>
      <c r="C43" t="str">
        <f t="shared" si="0"/>
        <v>Summer</v>
      </c>
      <c r="D43">
        <f>IF(G43 &gt;= Table4[[#Totals],[Pax]], 1, 0)</f>
        <v>1</v>
      </c>
      <c r="E43" s="1">
        <v>59297121</v>
      </c>
      <c r="F43" s="1">
        <v>7625061</v>
      </c>
      <c r="G43" s="1">
        <v>66922182</v>
      </c>
      <c r="H43" s="1">
        <f t="shared" si="3"/>
        <v>64142247</v>
      </c>
      <c r="I43" s="1">
        <v>820310</v>
      </c>
      <c r="J43" s="1">
        <v>71424</v>
      </c>
      <c r="K43" s="1">
        <v>891734</v>
      </c>
      <c r="L43" s="1">
        <v>52200272</v>
      </c>
      <c r="M43" s="1">
        <v>20275368</v>
      </c>
      <c r="N43" s="1">
        <v>72475640</v>
      </c>
      <c r="O43" s="1">
        <v>61692651</v>
      </c>
      <c r="P43" s="1">
        <v>23821736</v>
      </c>
      <c r="Q43" s="1">
        <v>85514388</v>
      </c>
      <c r="R43">
        <v>84.61</v>
      </c>
      <c r="S43">
        <v>85.11</v>
      </c>
      <c r="T43">
        <v>84.75</v>
      </c>
      <c r="U43" s="2">
        <f t="shared" si="1"/>
        <v>38869</v>
      </c>
      <c r="V43" t="str">
        <f t="shared" si="2"/>
        <v>Summer</v>
      </c>
    </row>
    <row r="44" spans="1:22" x14ac:dyDescent="0.35">
      <c r="A44">
        <v>2006</v>
      </c>
      <c r="B44">
        <v>7</v>
      </c>
      <c r="C44" t="str">
        <f t="shared" si="0"/>
        <v>Summer</v>
      </c>
      <c r="D44">
        <f>IF(G44 &gt;= Table4[[#Totals],[Pax]], 1, 0)</f>
        <v>1</v>
      </c>
      <c r="E44" s="1">
        <v>60838606</v>
      </c>
      <c r="F44" s="1">
        <v>8340003</v>
      </c>
      <c r="G44" s="1">
        <v>69178609</v>
      </c>
      <c r="H44" s="1">
        <f t="shared" si="3"/>
        <v>66922182</v>
      </c>
      <c r="I44" s="1">
        <v>852114</v>
      </c>
      <c r="J44" s="1">
        <v>76301</v>
      </c>
      <c r="K44" s="1">
        <v>928415</v>
      </c>
      <c r="L44" s="1">
        <v>54506446</v>
      </c>
      <c r="M44" s="1">
        <v>21510904</v>
      </c>
      <c r="N44" s="1">
        <v>76017350</v>
      </c>
      <c r="O44" s="1">
        <v>64111164</v>
      </c>
      <c r="P44" s="1">
        <v>25185579</v>
      </c>
      <c r="Q44" s="1">
        <v>89296743</v>
      </c>
      <c r="R44">
        <v>85.02</v>
      </c>
      <c r="S44">
        <v>85.41</v>
      </c>
      <c r="T44">
        <v>85.13</v>
      </c>
      <c r="U44" s="2">
        <f t="shared" si="1"/>
        <v>38899</v>
      </c>
      <c r="V44" t="str">
        <f t="shared" si="2"/>
        <v>Summer</v>
      </c>
    </row>
    <row r="45" spans="1:22" x14ac:dyDescent="0.35">
      <c r="A45">
        <v>2006</v>
      </c>
      <c r="B45">
        <v>8</v>
      </c>
      <c r="C45" t="str">
        <f t="shared" si="0"/>
        <v>Summer</v>
      </c>
      <c r="D45">
        <f>IF(G45 &gt;= Table4[[#Totals],[Pax]], 1, 0)</f>
        <v>1</v>
      </c>
      <c r="E45" s="1">
        <v>58303233</v>
      </c>
      <c r="F45" s="1">
        <v>7843848</v>
      </c>
      <c r="G45" s="1">
        <v>66147081</v>
      </c>
      <c r="H45" s="1">
        <f t="shared" si="3"/>
        <v>69178609</v>
      </c>
      <c r="I45" s="1">
        <v>866551</v>
      </c>
      <c r="J45" s="1">
        <v>74735</v>
      </c>
      <c r="K45" s="1">
        <v>941286</v>
      </c>
      <c r="L45" s="1">
        <v>52074386</v>
      </c>
      <c r="M45" s="1">
        <v>20342613</v>
      </c>
      <c r="N45" s="1">
        <v>72416999</v>
      </c>
      <c r="O45" s="1">
        <v>64332983</v>
      </c>
      <c r="P45" s="1">
        <v>24888446</v>
      </c>
      <c r="Q45" s="1">
        <v>89221429</v>
      </c>
      <c r="R45">
        <v>80.95</v>
      </c>
      <c r="S45">
        <v>81.739999999999995</v>
      </c>
      <c r="T45">
        <v>81.17</v>
      </c>
      <c r="U45" s="2">
        <f t="shared" si="1"/>
        <v>38930</v>
      </c>
      <c r="V45" t="str">
        <f t="shared" si="2"/>
        <v>Summer</v>
      </c>
    </row>
    <row r="46" spans="1:22" x14ac:dyDescent="0.35">
      <c r="A46">
        <v>2006</v>
      </c>
      <c r="B46">
        <v>9</v>
      </c>
      <c r="C46" t="str">
        <f t="shared" si="0"/>
        <v>Fall</v>
      </c>
      <c r="D46">
        <f>IF(G46 &gt;= Table4[[#Totals],[Pax]], 1, 0)</f>
        <v>0</v>
      </c>
      <c r="E46" s="1">
        <v>49949551</v>
      </c>
      <c r="F46" s="1">
        <v>6189973</v>
      </c>
      <c r="G46" s="1">
        <v>56139524</v>
      </c>
      <c r="H46" s="1">
        <f t="shared" si="3"/>
        <v>66147081</v>
      </c>
      <c r="I46" s="1">
        <v>799777</v>
      </c>
      <c r="J46" s="1">
        <v>62710</v>
      </c>
      <c r="K46" s="1">
        <v>862487</v>
      </c>
      <c r="L46" s="1">
        <v>43108587</v>
      </c>
      <c r="M46" s="1">
        <v>17537122</v>
      </c>
      <c r="N46" s="1">
        <v>60645709</v>
      </c>
      <c r="O46" s="1">
        <v>58383462</v>
      </c>
      <c r="P46" s="1">
        <v>22579257</v>
      </c>
      <c r="Q46" s="1">
        <v>80962719</v>
      </c>
      <c r="R46">
        <v>73.84</v>
      </c>
      <c r="S46">
        <v>77.67</v>
      </c>
      <c r="T46">
        <v>74.91</v>
      </c>
      <c r="U46" s="2">
        <f t="shared" si="1"/>
        <v>38961</v>
      </c>
      <c r="V46" t="str">
        <f t="shared" si="2"/>
        <v>Fall</v>
      </c>
    </row>
    <row r="47" spans="1:22" x14ac:dyDescent="0.35">
      <c r="A47">
        <v>2006</v>
      </c>
      <c r="B47">
        <v>10</v>
      </c>
      <c r="C47" t="str">
        <f t="shared" si="0"/>
        <v>Fall</v>
      </c>
      <c r="D47">
        <f>IF(G47 &gt;= Table4[[#Totals],[Pax]], 1, 0)</f>
        <v>0</v>
      </c>
      <c r="E47" s="1">
        <v>55088983</v>
      </c>
      <c r="F47" s="1">
        <v>6281017</v>
      </c>
      <c r="G47" s="1">
        <v>61370000</v>
      </c>
      <c r="H47" s="1">
        <f t="shared" si="3"/>
        <v>56139524</v>
      </c>
      <c r="I47" s="1">
        <v>828218</v>
      </c>
      <c r="J47" s="1">
        <v>63105</v>
      </c>
      <c r="K47" s="1">
        <v>891323</v>
      </c>
      <c r="L47" s="1">
        <v>47137132</v>
      </c>
      <c r="M47" s="1">
        <v>17365868</v>
      </c>
      <c r="N47" s="1">
        <v>64503000</v>
      </c>
      <c r="O47" s="1">
        <v>60802722</v>
      </c>
      <c r="P47" s="1">
        <v>22654609</v>
      </c>
      <c r="Q47" s="1">
        <v>83457331</v>
      </c>
      <c r="R47">
        <v>77.52</v>
      </c>
      <c r="S47">
        <v>76.650000000000006</v>
      </c>
      <c r="T47">
        <v>77.290000000000006</v>
      </c>
      <c r="U47" s="2">
        <f t="shared" si="1"/>
        <v>38991</v>
      </c>
      <c r="V47" t="str">
        <f t="shared" si="2"/>
        <v>Fall</v>
      </c>
    </row>
    <row r="48" spans="1:22" x14ac:dyDescent="0.35">
      <c r="A48">
        <v>2006</v>
      </c>
      <c r="B48">
        <v>11</v>
      </c>
      <c r="C48" t="str">
        <f t="shared" si="0"/>
        <v>Fall</v>
      </c>
      <c r="D48">
        <f>IF(G48 &gt;= Table4[[#Totals],[Pax]], 1, 0)</f>
        <v>0</v>
      </c>
      <c r="E48" s="1">
        <v>53852209</v>
      </c>
      <c r="F48" s="1">
        <v>6173261</v>
      </c>
      <c r="G48" s="1">
        <v>60025470</v>
      </c>
      <c r="H48" s="1">
        <f t="shared" si="3"/>
        <v>61370000</v>
      </c>
      <c r="I48" s="1">
        <v>792523</v>
      </c>
      <c r="J48" s="1">
        <v>61823</v>
      </c>
      <c r="K48" s="1">
        <v>854346</v>
      </c>
      <c r="L48" s="1">
        <v>45966808</v>
      </c>
      <c r="M48" s="1">
        <v>16115237</v>
      </c>
      <c r="N48" s="1">
        <v>62082045</v>
      </c>
      <c r="O48" s="1">
        <v>58912308</v>
      </c>
      <c r="P48" s="1">
        <v>20821119</v>
      </c>
      <c r="Q48" s="1">
        <v>79733427</v>
      </c>
      <c r="R48">
        <v>78.03</v>
      </c>
      <c r="S48">
        <v>77.400000000000006</v>
      </c>
      <c r="T48">
        <v>77.86</v>
      </c>
      <c r="U48" s="2">
        <f t="shared" si="1"/>
        <v>39022</v>
      </c>
      <c r="V48" t="str">
        <f t="shared" si="2"/>
        <v>Fall</v>
      </c>
    </row>
    <row r="49" spans="1:22" x14ac:dyDescent="0.35">
      <c r="A49">
        <v>2006</v>
      </c>
      <c r="B49">
        <v>12</v>
      </c>
      <c r="C49" t="str">
        <f t="shared" si="0"/>
        <v>Fall</v>
      </c>
      <c r="D49">
        <f>IF(G49 &gt;= Table4[[#Totals],[Pax]], 1, 0)</f>
        <v>0</v>
      </c>
      <c r="E49" s="1">
        <v>53538970</v>
      </c>
      <c r="F49" s="1">
        <v>6917055</v>
      </c>
      <c r="G49" s="1">
        <v>60456025</v>
      </c>
      <c r="H49" s="1">
        <f t="shared" si="3"/>
        <v>60025470</v>
      </c>
      <c r="I49" s="1">
        <v>805058</v>
      </c>
      <c r="J49" s="1">
        <v>68978</v>
      </c>
      <c r="K49" s="1">
        <v>874036</v>
      </c>
      <c r="L49" s="1">
        <v>46835639</v>
      </c>
      <c r="M49" s="1">
        <v>17704637</v>
      </c>
      <c r="N49" s="1">
        <v>64540276</v>
      </c>
      <c r="O49" s="1">
        <v>61161328</v>
      </c>
      <c r="P49" s="1">
        <v>22721069</v>
      </c>
      <c r="Q49" s="1">
        <v>83882396</v>
      </c>
      <c r="R49">
        <v>76.58</v>
      </c>
      <c r="S49">
        <v>77.92</v>
      </c>
      <c r="T49">
        <v>76.94</v>
      </c>
      <c r="U49" s="2">
        <f t="shared" si="1"/>
        <v>39052</v>
      </c>
      <c r="V49" t="str">
        <f t="shared" si="2"/>
        <v>Winter</v>
      </c>
    </row>
    <row r="50" spans="1:22" x14ac:dyDescent="0.35">
      <c r="A50">
        <v>2007</v>
      </c>
      <c r="B50">
        <v>1</v>
      </c>
      <c r="C50" t="str">
        <f t="shared" si="0"/>
        <v>Winter</v>
      </c>
      <c r="D50">
        <f>IF(G50 &gt;= Table4[[#Totals],[Pax]], 1, 0)</f>
        <v>0</v>
      </c>
      <c r="E50" s="1">
        <v>50022168</v>
      </c>
      <c r="F50" s="1">
        <v>6854636</v>
      </c>
      <c r="G50" s="1">
        <v>56876804</v>
      </c>
      <c r="H50" s="1">
        <f t="shared" si="3"/>
        <v>60456025</v>
      </c>
      <c r="I50" s="1">
        <v>803924</v>
      </c>
      <c r="J50" s="1">
        <v>69634</v>
      </c>
      <c r="K50" s="1">
        <v>873558</v>
      </c>
      <c r="L50" s="1">
        <v>43823680</v>
      </c>
      <c r="M50" s="1">
        <v>17450335</v>
      </c>
      <c r="N50" s="1">
        <v>61274015</v>
      </c>
      <c r="O50" s="1">
        <v>60618488</v>
      </c>
      <c r="P50" s="1">
        <v>22960840</v>
      </c>
      <c r="Q50" s="1">
        <v>83579327</v>
      </c>
      <c r="R50">
        <v>72.290000000000006</v>
      </c>
      <c r="S50">
        <v>76</v>
      </c>
      <c r="T50">
        <v>73.31</v>
      </c>
      <c r="U50" s="2">
        <f t="shared" si="1"/>
        <v>39083</v>
      </c>
      <c r="V50" t="str">
        <f t="shared" si="2"/>
        <v>Winter</v>
      </c>
    </row>
    <row r="51" spans="1:22" x14ac:dyDescent="0.35">
      <c r="A51">
        <v>2007</v>
      </c>
      <c r="B51">
        <v>2</v>
      </c>
      <c r="C51" t="str">
        <f t="shared" si="0"/>
        <v>Winter</v>
      </c>
      <c r="D51">
        <f>IF(G51 &gt;= Table4[[#Totals],[Pax]], 1, 0)</f>
        <v>0</v>
      </c>
      <c r="E51" s="1">
        <v>47766421</v>
      </c>
      <c r="F51" s="1">
        <v>6078593</v>
      </c>
      <c r="G51" s="1">
        <v>53845014</v>
      </c>
      <c r="H51" s="1">
        <f t="shared" si="3"/>
        <v>56876804</v>
      </c>
      <c r="I51" s="1">
        <v>724657</v>
      </c>
      <c r="J51" s="1">
        <v>62711</v>
      </c>
      <c r="K51" s="1">
        <v>787368</v>
      </c>
      <c r="L51" s="1">
        <v>41270274</v>
      </c>
      <c r="M51" s="1">
        <v>15087982</v>
      </c>
      <c r="N51" s="1">
        <v>56358256</v>
      </c>
      <c r="O51" s="1">
        <v>54490060</v>
      </c>
      <c r="P51" s="1">
        <v>20624609</v>
      </c>
      <c r="Q51" s="1">
        <v>75114669</v>
      </c>
      <c r="R51">
        <v>75.739999999999995</v>
      </c>
      <c r="S51">
        <v>73.16</v>
      </c>
      <c r="T51">
        <v>75.03</v>
      </c>
      <c r="U51" s="2">
        <f t="shared" si="1"/>
        <v>39114</v>
      </c>
      <c r="V51" t="str">
        <f t="shared" si="2"/>
        <v>Winter</v>
      </c>
    </row>
    <row r="52" spans="1:22" x14ac:dyDescent="0.35">
      <c r="A52">
        <v>2007</v>
      </c>
      <c r="B52">
        <v>3</v>
      </c>
      <c r="C52" t="str">
        <f t="shared" si="0"/>
        <v>Spring</v>
      </c>
      <c r="D52">
        <f>IF(G52 &gt;= Table4[[#Totals],[Pax]], 1, 0)</f>
        <v>1</v>
      </c>
      <c r="E52" s="1">
        <v>59244232</v>
      </c>
      <c r="F52" s="1">
        <v>7647510</v>
      </c>
      <c r="G52" s="1">
        <v>66891742</v>
      </c>
      <c r="H52" s="1">
        <f t="shared" si="3"/>
        <v>53845014</v>
      </c>
      <c r="I52" s="1">
        <v>830373</v>
      </c>
      <c r="J52" s="1">
        <v>72367</v>
      </c>
      <c r="K52" s="1">
        <v>902740</v>
      </c>
      <c r="L52" s="1">
        <v>51518429</v>
      </c>
      <c r="M52" s="1">
        <v>19346351</v>
      </c>
      <c r="N52" s="1">
        <v>70864780</v>
      </c>
      <c r="O52" s="1">
        <v>63131522</v>
      </c>
      <c r="P52" s="1">
        <v>23667344</v>
      </c>
      <c r="Q52" s="1">
        <v>86798866</v>
      </c>
      <c r="R52">
        <v>81.599999999999994</v>
      </c>
      <c r="S52">
        <v>81.739999999999995</v>
      </c>
      <c r="T52">
        <v>81.64</v>
      </c>
      <c r="U52" s="2">
        <f t="shared" si="1"/>
        <v>39142</v>
      </c>
      <c r="V52" t="str">
        <f t="shared" si="2"/>
        <v>Spring</v>
      </c>
    </row>
    <row r="53" spans="1:22" x14ac:dyDescent="0.35">
      <c r="A53">
        <v>2007</v>
      </c>
      <c r="B53">
        <v>4</v>
      </c>
      <c r="C53" t="str">
        <f t="shared" si="0"/>
        <v>Spring</v>
      </c>
      <c r="D53">
        <f>IF(G53 &gt;= Table4[[#Totals],[Pax]], 1, 0)</f>
        <v>1</v>
      </c>
      <c r="E53" s="1">
        <v>57396328</v>
      </c>
      <c r="F53" s="1">
        <v>7233785</v>
      </c>
      <c r="G53" s="1">
        <v>64630113</v>
      </c>
      <c r="H53" s="1">
        <f t="shared" si="3"/>
        <v>66891742</v>
      </c>
      <c r="I53" s="1">
        <v>809663</v>
      </c>
      <c r="J53" s="1">
        <v>70037</v>
      </c>
      <c r="K53" s="1">
        <v>879700</v>
      </c>
      <c r="L53" s="1">
        <v>49772604</v>
      </c>
      <c r="M53" s="1">
        <v>18462964</v>
      </c>
      <c r="N53" s="1">
        <v>68235568</v>
      </c>
      <c r="O53" s="1">
        <v>61124424</v>
      </c>
      <c r="P53" s="1">
        <v>23325666</v>
      </c>
      <c r="Q53" s="1">
        <v>84450090</v>
      </c>
      <c r="R53">
        <v>81.430000000000007</v>
      </c>
      <c r="S53">
        <v>79.150000000000006</v>
      </c>
      <c r="T53">
        <v>80.8</v>
      </c>
      <c r="U53" s="2">
        <f t="shared" si="1"/>
        <v>39173</v>
      </c>
      <c r="V53" t="str">
        <f t="shared" si="2"/>
        <v>Spring</v>
      </c>
    </row>
    <row r="54" spans="1:22" x14ac:dyDescent="0.35">
      <c r="A54">
        <v>2007</v>
      </c>
      <c r="B54">
        <v>5</v>
      </c>
      <c r="C54" t="str">
        <f t="shared" si="0"/>
        <v>Spring</v>
      </c>
      <c r="D54">
        <f>IF(G54 &gt;= Table4[[#Totals],[Pax]], 1, 0)</f>
        <v>1</v>
      </c>
      <c r="E54" s="1">
        <v>59283597</v>
      </c>
      <c r="F54" s="1">
        <v>7244944</v>
      </c>
      <c r="G54" s="1">
        <v>66528541</v>
      </c>
      <c r="H54" s="1">
        <f t="shared" si="3"/>
        <v>64630113</v>
      </c>
      <c r="I54" s="1">
        <v>844074</v>
      </c>
      <c r="J54" s="1">
        <v>70437</v>
      </c>
      <c r="K54" s="1">
        <v>914511</v>
      </c>
      <c r="L54" s="1">
        <v>51031835</v>
      </c>
      <c r="M54" s="1">
        <v>19341759</v>
      </c>
      <c r="N54" s="1">
        <v>70373594</v>
      </c>
      <c r="O54" s="1">
        <v>62774346</v>
      </c>
      <c r="P54" s="1">
        <v>24370452</v>
      </c>
      <c r="Q54" s="1">
        <v>87144798</v>
      </c>
      <c r="R54">
        <v>81.290000000000006</v>
      </c>
      <c r="S54">
        <v>79.37</v>
      </c>
      <c r="T54">
        <v>80.75</v>
      </c>
      <c r="U54" s="2">
        <f t="shared" si="1"/>
        <v>39203</v>
      </c>
      <c r="V54" t="str">
        <f t="shared" si="2"/>
        <v>Spring</v>
      </c>
    </row>
    <row r="55" spans="1:22" x14ac:dyDescent="0.35">
      <c r="A55">
        <v>2007</v>
      </c>
      <c r="B55">
        <v>6</v>
      </c>
      <c r="C55" t="str">
        <f t="shared" si="0"/>
        <v>Summer</v>
      </c>
      <c r="D55">
        <f>IF(G55 &gt;= Table4[[#Totals],[Pax]], 1, 0)</f>
        <v>1</v>
      </c>
      <c r="E55" s="1">
        <v>61493934</v>
      </c>
      <c r="F55" s="1">
        <v>7953495</v>
      </c>
      <c r="G55" s="1">
        <v>69447429</v>
      </c>
      <c r="H55" s="1">
        <f t="shared" si="3"/>
        <v>66528541</v>
      </c>
      <c r="I55" s="1">
        <v>832163</v>
      </c>
      <c r="J55" s="1">
        <v>72797</v>
      </c>
      <c r="K55" s="1">
        <v>904960</v>
      </c>
      <c r="L55" s="1">
        <v>54018698</v>
      </c>
      <c r="M55" s="1">
        <v>21325672</v>
      </c>
      <c r="N55" s="1">
        <v>75344370</v>
      </c>
      <c r="O55" s="1">
        <v>62620840</v>
      </c>
      <c r="P55" s="1">
        <v>25295941</v>
      </c>
      <c r="Q55" s="1">
        <v>87916781</v>
      </c>
      <c r="R55">
        <v>86.26</v>
      </c>
      <c r="S55">
        <v>84.3</v>
      </c>
      <c r="T55">
        <v>85.7</v>
      </c>
      <c r="U55" s="2">
        <f t="shared" si="1"/>
        <v>39234</v>
      </c>
      <c r="V55" t="str">
        <f t="shared" si="2"/>
        <v>Summer</v>
      </c>
    </row>
    <row r="56" spans="1:22" x14ac:dyDescent="0.35">
      <c r="A56">
        <v>2007</v>
      </c>
      <c r="B56">
        <v>7</v>
      </c>
      <c r="C56" t="str">
        <f t="shared" si="0"/>
        <v>Summer</v>
      </c>
      <c r="D56">
        <f>IF(G56 &gt;= Table4[[#Totals],[Pax]], 1, 0)</f>
        <v>1</v>
      </c>
      <c r="E56" s="1">
        <v>63457403</v>
      </c>
      <c r="F56" s="1">
        <v>8696119</v>
      </c>
      <c r="G56" s="1">
        <v>72153522</v>
      </c>
      <c r="H56" s="1">
        <f t="shared" si="3"/>
        <v>69447429</v>
      </c>
      <c r="I56" s="1">
        <v>863658</v>
      </c>
      <c r="J56" s="1">
        <v>77533</v>
      </c>
      <c r="K56" s="1">
        <v>941191</v>
      </c>
      <c r="L56" s="1">
        <v>56572990</v>
      </c>
      <c r="M56" s="1">
        <v>22709269</v>
      </c>
      <c r="N56" s="1">
        <v>79282259</v>
      </c>
      <c r="O56" s="1">
        <v>65566709</v>
      </c>
      <c r="P56" s="1">
        <v>26624388</v>
      </c>
      <c r="Q56" s="1">
        <v>92191098</v>
      </c>
      <c r="R56">
        <v>86.28</v>
      </c>
      <c r="S56">
        <v>85.29</v>
      </c>
      <c r="T56">
        <v>86</v>
      </c>
      <c r="U56" s="2">
        <f t="shared" si="1"/>
        <v>39264</v>
      </c>
      <c r="V56" t="str">
        <f t="shared" si="2"/>
        <v>Summer</v>
      </c>
    </row>
    <row r="57" spans="1:22" x14ac:dyDescent="0.35">
      <c r="A57">
        <v>2007</v>
      </c>
      <c r="B57">
        <v>8</v>
      </c>
      <c r="C57" t="str">
        <f t="shared" si="0"/>
        <v>Summer</v>
      </c>
      <c r="D57">
        <f>IF(G57 &gt;= Table4[[#Totals],[Pax]], 1, 0)</f>
        <v>1</v>
      </c>
      <c r="E57" s="1">
        <v>62657667</v>
      </c>
      <c r="F57" s="1">
        <v>8429481</v>
      </c>
      <c r="G57" s="1">
        <v>71087148</v>
      </c>
      <c r="H57" s="1">
        <f t="shared" si="3"/>
        <v>72153522</v>
      </c>
      <c r="I57" s="1">
        <v>872349</v>
      </c>
      <c r="J57" s="1">
        <v>76818</v>
      </c>
      <c r="K57" s="1">
        <v>949167</v>
      </c>
      <c r="L57" s="1">
        <v>55682567</v>
      </c>
      <c r="M57" s="1">
        <v>22060730</v>
      </c>
      <c r="N57" s="1">
        <v>77743296</v>
      </c>
      <c r="O57" s="1">
        <v>65556234</v>
      </c>
      <c r="P57" s="1">
        <v>26525647</v>
      </c>
      <c r="Q57" s="1">
        <v>92081881</v>
      </c>
      <c r="R57">
        <v>84.94</v>
      </c>
      <c r="S57">
        <v>83.17</v>
      </c>
      <c r="T57">
        <v>84.43</v>
      </c>
      <c r="U57" s="2">
        <f t="shared" si="1"/>
        <v>39295</v>
      </c>
      <c r="V57" t="str">
        <f t="shared" si="2"/>
        <v>Summer</v>
      </c>
    </row>
    <row r="58" spans="1:22" x14ac:dyDescent="0.35">
      <c r="A58">
        <v>2007</v>
      </c>
      <c r="B58">
        <v>9</v>
      </c>
      <c r="C58" t="str">
        <f t="shared" si="0"/>
        <v>Fall</v>
      </c>
      <c r="D58">
        <f>IF(G58 &gt;= Table4[[#Totals],[Pax]], 1, 0)</f>
        <v>0</v>
      </c>
      <c r="E58" s="1">
        <v>52308015</v>
      </c>
      <c r="F58" s="1">
        <v>6665909</v>
      </c>
      <c r="G58" s="1">
        <v>58973924</v>
      </c>
      <c r="H58" s="1">
        <f t="shared" si="3"/>
        <v>71087148</v>
      </c>
      <c r="I58" s="1">
        <v>805066</v>
      </c>
      <c r="J58" s="1">
        <v>64283</v>
      </c>
      <c r="K58" s="1">
        <v>869349</v>
      </c>
      <c r="L58" s="1">
        <v>45240419</v>
      </c>
      <c r="M58" s="1">
        <v>18994703</v>
      </c>
      <c r="N58" s="1">
        <v>64235122</v>
      </c>
      <c r="O58" s="1">
        <v>59796275</v>
      </c>
      <c r="P58" s="1">
        <v>23883235</v>
      </c>
      <c r="Q58" s="1">
        <v>83679510</v>
      </c>
      <c r="R58">
        <v>75.66</v>
      </c>
      <c r="S58">
        <v>79.53</v>
      </c>
      <c r="T58">
        <v>76.760000000000005</v>
      </c>
      <c r="U58" s="2">
        <f t="shared" si="1"/>
        <v>39326</v>
      </c>
      <c r="V58" t="str">
        <f t="shared" si="2"/>
        <v>Fall</v>
      </c>
    </row>
    <row r="59" spans="1:22" x14ac:dyDescent="0.35">
      <c r="A59">
        <v>2007</v>
      </c>
      <c r="B59">
        <v>10</v>
      </c>
      <c r="C59" t="str">
        <f t="shared" si="0"/>
        <v>Fall</v>
      </c>
      <c r="D59">
        <f>IF(G59 &gt;= Table4[[#Totals],[Pax]], 1, 0)</f>
        <v>1</v>
      </c>
      <c r="E59" s="1">
        <v>57206249</v>
      </c>
      <c r="F59" s="1">
        <v>6734727</v>
      </c>
      <c r="G59" s="1">
        <v>63940976</v>
      </c>
      <c r="H59" s="1">
        <f t="shared" si="3"/>
        <v>58973924</v>
      </c>
      <c r="I59" s="1">
        <v>841179</v>
      </c>
      <c r="J59" s="1">
        <v>64536</v>
      </c>
      <c r="K59" s="1">
        <v>905715</v>
      </c>
      <c r="L59" s="1">
        <v>49069269</v>
      </c>
      <c r="M59" s="1">
        <v>18762030</v>
      </c>
      <c r="N59" s="1">
        <v>67831299</v>
      </c>
      <c r="O59" s="1">
        <v>62497723</v>
      </c>
      <c r="P59" s="1">
        <v>23713623</v>
      </c>
      <c r="Q59" s="1">
        <v>86211346</v>
      </c>
      <c r="R59">
        <v>78.510000000000005</v>
      </c>
      <c r="S59">
        <v>79.12</v>
      </c>
      <c r="T59">
        <v>78.680000000000007</v>
      </c>
      <c r="U59" s="2">
        <f t="shared" si="1"/>
        <v>39356</v>
      </c>
      <c r="V59" t="str">
        <f t="shared" si="2"/>
        <v>Fall</v>
      </c>
    </row>
    <row r="60" spans="1:22" x14ac:dyDescent="0.35">
      <c r="A60">
        <v>2007</v>
      </c>
      <c r="B60">
        <v>11</v>
      </c>
      <c r="C60" t="str">
        <f t="shared" si="0"/>
        <v>Fall</v>
      </c>
      <c r="D60">
        <f>IF(G60 &gt;= Table4[[#Totals],[Pax]], 1, 0)</f>
        <v>0</v>
      </c>
      <c r="E60" s="1">
        <v>55044206</v>
      </c>
      <c r="F60" s="1">
        <v>6616131</v>
      </c>
      <c r="G60" s="1">
        <v>61660337</v>
      </c>
      <c r="H60" s="1">
        <f t="shared" si="3"/>
        <v>63940976</v>
      </c>
      <c r="I60" s="1">
        <v>804635</v>
      </c>
      <c r="J60" s="1">
        <v>64236</v>
      </c>
      <c r="K60" s="1">
        <v>868871</v>
      </c>
      <c r="L60" s="1">
        <v>47256388</v>
      </c>
      <c r="M60" s="1">
        <v>17508412</v>
      </c>
      <c r="N60" s="1">
        <v>64764800</v>
      </c>
      <c r="O60" s="1">
        <v>60801594</v>
      </c>
      <c r="P60" s="1">
        <v>22421800</v>
      </c>
      <c r="Q60" s="1">
        <v>83223395</v>
      </c>
      <c r="R60">
        <v>77.72</v>
      </c>
      <c r="S60">
        <v>78.09</v>
      </c>
      <c r="T60">
        <v>77.819999999999993</v>
      </c>
      <c r="U60" s="2">
        <f t="shared" si="1"/>
        <v>39387</v>
      </c>
      <c r="V60" t="str">
        <f t="shared" si="2"/>
        <v>Fall</v>
      </c>
    </row>
    <row r="61" spans="1:22" x14ac:dyDescent="0.35">
      <c r="A61">
        <v>2007</v>
      </c>
      <c r="B61">
        <v>12</v>
      </c>
      <c r="C61" t="str">
        <f t="shared" si="0"/>
        <v>Fall</v>
      </c>
      <c r="D61">
        <f>IF(G61 &gt;= Table4[[#Totals],[Pax]], 1, 0)</f>
        <v>0</v>
      </c>
      <c r="E61" s="1">
        <v>53288538</v>
      </c>
      <c r="F61" s="1">
        <v>7302494</v>
      </c>
      <c r="G61" s="1">
        <v>60591032</v>
      </c>
      <c r="H61" s="1">
        <f t="shared" si="3"/>
        <v>61660337</v>
      </c>
      <c r="I61" s="1">
        <v>803981</v>
      </c>
      <c r="J61" s="1">
        <v>70325</v>
      </c>
      <c r="K61" s="1">
        <v>874306</v>
      </c>
      <c r="L61" s="1">
        <v>47070645</v>
      </c>
      <c r="M61" s="1">
        <v>19121625</v>
      </c>
      <c r="N61" s="1">
        <v>66192270</v>
      </c>
      <c r="O61" s="1">
        <v>62270682</v>
      </c>
      <c r="P61" s="1">
        <v>24391947</v>
      </c>
      <c r="Q61" s="1">
        <v>86662629</v>
      </c>
      <c r="R61">
        <v>75.59</v>
      </c>
      <c r="S61">
        <v>78.39</v>
      </c>
      <c r="T61">
        <v>76.38</v>
      </c>
      <c r="U61" s="2">
        <f t="shared" si="1"/>
        <v>39417</v>
      </c>
      <c r="V61" t="str">
        <f t="shared" si="2"/>
        <v>Winter</v>
      </c>
    </row>
    <row r="62" spans="1:22" x14ac:dyDescent="0.35">
      <c r="A62">
        <v>2008</v>
      </c>
      <c r="B62">
        <v>1</v>
      </c>
      <c r="C62" t="str">
        <f t="shared" si="0"/>
        <v>Winter</v>
      </c>
      <c r="D62">
        <f>IF(G62 &gt;= Table4[[#Totals],[Pax]], 1, 0)</f>
        <v>0</v>
      </c>
      <c r="E62" s="1">
        <v>50245100</v>
      </c>
      <c r="F62" s="1">
        <v>7214702</v>
      </c>
      <c r="G62" s="1">
        <v>57459802</v>
      </c>
      <c r="H62" s="1">
        <f t="shared" si="3"/>
        <v>60591032</v>
      </c>
      <c r="I62" s="1">
        <v>793275</v>
      </c>
      <c r="J62" s="1">
        <v>70805</v>
      </c>
      <c r="K62" s="1">
        <v>864080</v>
      </c>
      <c r="L62" s="1">
        <v>44233383</v>
      </c>
      <c r="M62" s="1">
        <v>18682398</v>
      </c>
      <c r="N62" s="1">
        <v>62915780</v>
      </c>
      <c r="O62" s="1">
        <v>60635551</v>
      </c>
      <c r="P62" s="1">
        <v>24474296</v>
      </c>
      <c r="Q62" s="1">
        <v>85109847</v>
      </c>
      <c r="R62">
        <v>72.95</v>
      </c>
      <c r="S62">
        <v>76.33</v>
      </c>
      <c r="T62">
        <v>73.92</v>
      </c>
      <c r="U62" s="2">
        <f t="shared" si="1"/>
        <v>39448</v>
      </c>
      <c r="V62" t="str">
        <f t="shared" si="2"/>
        <v>Winter</v>
      </c>
    </row>
    <row r="63" spans="1:22" x14ac:dyDescent="0.35">
      <c r="A63">
        <v>2008</v>
      </c>
      <c r="B63">
        <v>2</v>
      </c>
      <c r="C63" t="str">
        <f t="shared" si="0"/>
        <v>Winter</v>
      </c>
      <c r="D63">
        <f>IF(G63 &gt;= Table4[[#Totals],[Pax]], 1, 0)</f>
        <v>0</v>
      </c>
      <c r="E63" s="1">
        <v>50118363</v>
      </c>
      <c r="F63" s="1">
        <v>6691283</v>
      </c>
      <c r="G63" s="1">
        <v>56809646</v>
      </c>
      <c r="H63" s="1">
        <f t="shared" si="3"/>
        <v>57459802</v>
      </c>
      <c r="I63" s="1">
        <v>746679</v>
      </c>
      <c r="J63" s="1">
        <v>66402</v>
      </c>
      <c r="K63" s="1">
        <v>813081</v>
      </c>
      <c r="L63" s="1">
        <v>43429251</v>
      </c>
      <c r="M63" s="1">
        <v>16602844</v>
      </c>
      <c r="N63" s="1">
        <v>60032096</v>
      </c>
      <c r="O63" s="1">
        <v>57170275</v>
      </c>
      <c r="P63" s="1">
        <v>22832413</v>
      </c>
      <c r="Q63" s="1">
        <v>80002688</v>
      </c>
      <c r="R63">
        <v>75.959999999999994</v>
      </c>
      <c r="S63">
        <v>72.72</v>
      </c>
      <c r="T63">
        <v>75.040000000000006</v>
      </c>
      <c r="U63" s="2">
        <f t="shared" si="1"/>
        <v>39479</v>
      </c>
      <c r="V63" t="str">
        <f t="shared" si="2"/>
        <v>Winter</v>
      </c>
    </row>
    <row r="64" spans="1:22" x14ac:dyDescent="0.35">
      <c r="A64">
        <v>2008</v>
      </c>
      <c r="B64">
        <v>3</v>
      </c>
      <c r="C64" t="str">
        <f t="shared" si="0"/>
        <v>Spring</v>
      </c>
      <c r="D64">
        <f>IF(G64 &gt;= Table4[[#Totals],[Pax]], 1, 0)</f>
        <v>1</v>
      </c>
      <c r="E64" s="1">
        <v>59213077</v>
      </c>
      <c r="F64" s="1">
        <v>8257253</v>
      </c>
      <c r="G64" s="1">
        <v>67470330</v>
      </c>
      <c r="H64" s="1">
        <f t="shared" si="3"/>
        <v>56809646</v>
      </c>
      <c r="I64" s="1">
        <v>817511</v>
      </c>
      <c r="J64" s="1">
        <v>74449</v>
      </c>
      <c r="K64" s="1">
        <v>891960</v>
      </c>
      <c r="L64" s="1">
        <v>52016986</v>
      </c>
      <c r="M64" s="1">
        <v>20818061</v>
      </c>
      <c r="N64" s="1">
        <v>72835047</v>
      </c>
      <c r="O64" s="1">
        <v>63249344</v>
      </c>
      <c r="P64" s="1">
        <v>25295113</v>
      </c>
      <c r="Q64" s="1">
        <v>88544457</v>
      </c>
      <c r="R64">
        <v>82.24</v>
      </c>
      <c r="S64">
        <v>82.3</v>
      </c>
      <c r="T64">
        <v>82.26</v>
      </c>
      <c r="U64" s="2">
        <f t="shared" si="1"/>
        <v>39508</v>
      </c>
      <c r="V64" t="str">
        <f t="shared" si="2"/>
        <v>Spring</v>
      </c>
    </row>
    <row r="65" spans="1:22" x14ac:dyDescent="0.35">
      <c r="A65">
        <v>2008</v>
      </c>
      <c r="B65">
        <v>4</v>
      </c>
      <c r="C65" t="str">
        <f t="shared" si="0"/>
        <v>Spring</v>
      </c>
      <c r="D65">
        <f>IF(G65 &gt;= Table4[[#Totals],[Pax]], 1, 0)</f>
        <v>1</v>
      </c>
      <c r="E65" s="1">
        <v>55611053</v>
      </c>
      <c r="F65" s="1">
        <v>7361463</v>
      </c>
      <c r="G65" s="1">
        <v>62972516</v>
      </c>
      <c r="H65" s="1">
        <f t="shared" si="3"/>
        <v>67470330</v>
      </c>
      <c r="I65" s="1">
        <v>799664</v>
      </c>
      <c r="J65" s="1">
        <v>70840</v>
      </c>
      <c r="K65" s="1">
        <v>870504</v>
      </c>
      <c r="L65" s="1">
        <v>48189445</v>
      </c>
      <c r="M65" s="1">
        <v>19238317</v>
      </c>
      <c r="N65" s="1">
        <v>67427762</v>
      </c>
      <c r="O65" s="1">
        <v>60127860</v>
      </c>
      <c r="P65" s="1">
        <v>24913253</v>
      </c>
      <c r="Q65" s="1">
        <v>85041112</v>
      </c>
      <c r="R65">
        <v>80.14</v>
      </c>
      <c r="S65">
        <v>77.22</v>
      </c>
      <c r="T65">
        <v>79.290000000000006</v>
      </c>
      <c r="U65" s="2">
        <f t="shared" si="1"/>
        <v>39539</v>
      </c>
      <c r="V65" t="str">
        <f t="shared" si="2"/>
        <v>Spring</v>
      </c>
    </row>
    <row r="66" spans="1:22" x14ac:dyDescent="0.35">
      <c r="A66">
        <v>2008</v>
      </c>
      <c r="B66">
        <v>5</v>
      </c>
      <c r="C66" t="str">
        <f t="shared" ref="C66:C129" si="4">IF(B66&lt;=2,"Winter",
 IF(B66&lt;=5,"Spring",
 IF(B66&lt;=8,"Summer","Fall")))</f>
        <v>Spring</v>
      </c>
      <c r="D66">
        <f>IF(G66 &gt;= Table4[[#Totals],[Pax]], 1, 0)</f>
        <v>1</v>
      </c>
      <c r="E66" s="1">
        <v>58047400</v>
      </c>
      <c r="F66" s="1">
        <v>7747506</v>
      </c>
      <c r="G66" s="1">
        <v>65794906</v>
      </c>
      <c r="H66" s="1">
        <f t="shared" si="3"/>
        <v>62972516</v>
      </c>
      <c r="I66" s="1">
        <v>820114</v>
      </c>
      <c r="J66" s="1">
        <v>71787</v>
      </c>
      <c r="K66" s="1">
        <v>891901</v>
      </c>
      <c r="L66" s="1">
        <v>50259912</v>
      </c>
      <c r="M66" s="1">
        <v>20972031</v>
      </c>
      <c r="N66" s="1">
        <v>71231943</v>
      </c>
      <c r="O66" s="1">
        <v>61778284</v>
      </c>
      <c r="P66" s="1">
        <v>26236332</v>
      </c>
      <c r="Q66" s="1">
        <v>88014616</v>
      </c>
      <c r="R66">
        <v>81.36</v>
      </c>
      <c r="S66">
        <v>79.94</v>
      </c>
      <c r="T66">
        <v>80.930000000000007</v>
      </c>
      <c r="U66" s="2">
        <f t="shared" si="1"/>
        <v>39569</v>
      </c>
      <c r="V66" t="str">
        <f t="shared" si="2"/>
        <v>Spring</v>
      </c>
    </row>
    <row r="67" spans="1:22" x14ac:dyDescent="0.35">
      <c r="A67">
        <v>2008</v>
      </c>
      <c r="B67">
        <v>6</v>
      </c>
      <c r="C67" t="str">
        <f t="shared" si="4"/>
        <v>Summer</v>
      </c>
      <c r="D67">
        <f>IF(G67 &gt;= Table4[[#Totals],[Pax]], 1, 0)</f>
        <v>1</v>
      </c>
      <c r="E67" s="1">
        <v>59559171</v>
      </c>
      <c r="F67" s="1">
        <v>8168145</v>
      </c>
      <c r="G67" s="1">
        <v>67727316</v>
      </c>
      <c r="H67" s="1">
        <f t="shared" si="3"/>
        <v>65794906</v>
      </c>
      <c r="I67" s="1">
        <v>815914</v>
      </c>
      <c r="J67" s="1">
        <v>72783</v>
      </c>
      <c r="K67" s="1">
        <v>888697</v>
      </c>
      <c r="L67" s="1">
        <v>52521309</v>
      </c>
      <c r="M67" s="1">
        <v>22207049</v>
      </c>
      <c r="N67" s="1">
        <v>74728358</v>
      </c>
      <c r="O67" s="1">
        <v>62328392</v>
      </c>
      <c r="P67" s="1">
        <v>26758910</v>
      </c>
      <c r="Q67" s="1">
        <v>89087301</v>
      </c>
      <c r="R67">
        <v>84.27</v>
      </c>
      <c r="S67">
        <v>82.99</v>
      </c>
      <c r="T67">
        <v>83.88</v>
      </c>
      <c r="U67" s="2">
        <f t="shared" ref="U67:U130" si="5">DATE(A67, B67, 1)</f>
        <v>39600</v>
      </c>
      <c r="V67" t="str">
        <f t="shared" ref="V67:V130" si="6">IF(OR(B67=12,B67=1,B67=2),"Winter",
IF(OR(B67=3,B67=4,B67=5),"Spring",
IF(OR(B67=6,B67=7,B67=8),"Summer","Fall")))</f>
        <v>Summer</v>
      </c>
    </row>
    <row r="68" spans="1:22" x14ac:dyDescent="0.35">
      <c r="A68">
        <v>2008</v>
      </c>
      <c r="B68">
        <v>7</v>
      </c>
      <c r="C68" t="str">
        <f t="shared" si="4"/>
        <v>Summer</v>
      </c>
      <c r="D68">
        <f>IF(G68 &gt;= Table4[[#Totals],[Pax]], 1, 0)</f>
        <v>1</v>
      </c>
      <c r="E68" s="1">
        <v>61401480</v>
      </c>
      <c r="F68" s="1">
        <v>8831861</v>
      </c>
      <c r="G68" s="1">
        <v>70233341</v>
      </c>
      <c r="H68" s="1">
        <f t="shared" ref="H68:H131" si="7">G67</f>
        <v>67727316</v>
      </c>
      <c r="I68" s="1">
        <v>844737</v>
      </c>
      <c r="J68" s="1">
        <v>77244</v>
      </c>
      <c r="K68" s="1">
        <v>921981</v>
      </c>
      <c r="L68" s="1">
        <v>54621353</v>
      </c>
      <c r="M68" s="1">
        <v>23555952</v>
      </c>
      <c r="N68" s="1">
        <v>78177305</v>
      </c>
      <c r="O68" s="1">
        <v>64884624</v>
      </c>
      <c r="P68" s="1">
        <v>28113326</v>
      </c>
      <c r="Q68" s="1">
        <v>92997950</v>
      </c>
      <c r="R68">
        <v>84.18</v>
      </c>
      <c r="S68">
        <v>83.79</v>
      </c>
      <c r="T68">
        <v>84.06</v>
      </c>
      <c r="U68" s="2">
        <f t="shared" si="5"/>
        <v>39630</v>
      </c>
      <c r="V68" t="str">
        <f t="shared" si="6"/>
        <v>Summer</v>
      </c>
    </row>
    <row r="69" spans="1:22" x14ac:dyDescent="0.35">
      <c r="A69">
        <v>2008</v>
      </c>
      <c r="B69">
        <v>8</v>
      </c>
      <c r="C69" t="str">
        <f t="shared" si="4"/>
        <v>Summer</v>
      </c>
      <c r="D69">
        <f>IF(G69 &gt;= Table4[[#Totals],[Pax]], 1, 0)</f>
        <v>1</v>
      </c>
      <c r="E69" s="1">
        <v>58966473</v>
      </c>
      <c r="F69" s="1">
        <v>8629543</v>
      </c>
      <c r="G69" s="1">
        <v>67596016</v>
      </c>
      <c r="H69" s="1">
        <f t="shared" si="7"/>
        <v>70233341</v>
      </c>
      <c r="I69" s="1">
        <v>823517</v>
      </c>
      <c r="J69" s="1">
        <v>75242</v>
      </c>
      <c r="K69" s="1">
        <v>898759</v>
      </c>
      <c r="L69" s="1">
        <v>52643145</v>
      </c>
      <c r="M69" s="1">
        <v>23162473</v>
      </c>
      <c r="N69" s="1">
        <v>75805618</v>
      </c>
      <c r="O69" s="1">
        <v>63117937</v>
      </c>
      <c r="P69" s="1">
        <v>27931634</v>
      </c>
      <c r="Q69" s="1">
        <v>91049571</v>
      </c>
      <c r="R69">
        <v>83.4</v>
      </c>
      <c r="S69">
        <v>82.93</v>
      </c>
      <c r="T69">
        <v>83.26</v>
      </c>
      <c r="U69" s="2">
        <f t="shared" si="5"/>
        <v>39661</v>
      </c>
      <c r="V69" t="str">
        <f t="shared" si="6"/>
        <v>Summer</v>
      </c>
    </row>
    <row r="70" spans="1:22" x14ac:dyDescent="0.35">
      <c r="A70">
        <v>2008</v>
      </c>
      <c r="B70">
        <v>9</v>
      </c>
      <c r="C70" t="str">
        <f t="shared" si="4"/>
        <v>Fall</v>
      </c>
      <c r="D70">
        <f>IF(G70 &gt;= Table4[[#Totals],[Pax]], 1, 0)</f>
        <v>0</v>
      </c>
      <c r="E70" s="1">
        <v>47680001</v>
      </c>
      <c r="F70" s="1">
        <v>6327854</v>
      </c>
      <c r="G70" s="1">
        <v>54007855</v>
      </c>
      <c r="H70" s="1">
        <f t="shared" si="7"/>
        <v>67596016</v>
      </c>
      <c r="I70" s="1">
        <v>728377</v>
      </c>
      <c r="J70" s="1">
        <v>59708</v>
      </c>
      <c r="K70" s="1">
        <v>788085</v>
      </c>
      <c r="L70" s="1">
        <v>41015589</v>
      </c>
      <c r="M70" s="1">
        <v>18737440</v>
      </c>
      <c r="N70" s="1">
        <v>59753028</v>
      </c>
      <c r="O70" s="1">
        <v>53906431</v>
      </c>
      <c r="P70" s="1">
        <v>24055799</v>
      </c>
      <c r="Q70" s="1">
        <v>77962230</v>
      </c>
      <c r="R70">
        <v>76.09</v>
      </c>
      <c r="S70">
        <v>77.89</v>
      </c>
      <c r="T70">
        <v>76.64</v>
      </c>
      <c r="U70" s="2">
        <f t="shared" si="5"/>
        <v>39692</v>
      </c>
      <c r="V70" t="str">
        <f t="shared" si="6"/>
        <v>Fall</v>
      </c>
    </row>
    <row r="71" spans="1:22" x14ac:dyDescent="0.35">
      <c r="A71">
        <v>2008</v>
      </c>
      <c r="B71">
        <v>10</v>
      </c>
      <c r="C71" t="str">
        <f t="shared" si="4"/>
        <v>Fall</v>
      </c>
      <c r="D71">
        <f>IF(G71 &gt;= Table4[[#Totals],[Pax]], 1, 0)</f>
        <v>0</v>
      </c>
      <c r="E71" s="1">
        <v>52956023</v>
      </c>
      <c r="F71" s="1">
        <v>6473043</v>
      </c>
      <c r="G71" s="1">
        <v>59429066</v>
      </c>
      <c r="H71" s="1">
        <f t="shared" si="7"/>
        <v>54007855</v>
      </c>
      <c r="I71" s="1">
        <v>758538</v>
      </c>
      <c r="J71" s="1">
        <v>60997</v>
      </c>
      <c r="K71" s="1">
        <v>819535</v>
      </c>
      <c r="L71" s="1">
        <v>44913078</v>
      </c>
      <c r="M71" s="1">
        <v>18507570</v>
      </c>
      <c r="N71" s="1">
        <v>63420648</v>
      </c>
      <c r="O71" s="1">
        <v>56299337</v>
      </c>
      <c r="P71" s="1">
        <v>23804966</v>
      </c>
      <c r="Q71" s="1">
        <v>80104304</v>
      </c>
      <c r="R71">
        <v>79.78</v>
      </c>
      <c r="S71">
        <v>77.75</v>
      </c>
      <c r="T71">
        <v>79.17</v>
      </c>
      <c r="U71" s="2">
        <f t="shared" si="5"/>
        <v>39722</v>
      </c>
      <c r="V71" t="str">
        <f t="shared" si="6"/>
        <v>Fall</v>
      </c>
    </row>
    <row r="72" spans="1:22" x14ac:dyDescent="0.35">
      <c r="A72">
        <v>2008</v>
      </c>
      <c r="B72">
        <v>11</v>
      </c>
      <c r="C72" t="str">
        <f t="shared" si="4"/>
        <v>Fall</v>
      </c>
      <c r="D72">
        <f>IF(G72 &gt;= Table4[[#Totals],[Pax]], 1, 0)</f>
        <v>0</v>
      </c>
      <c r="E72" s="1">
        <v>47658141</v>
      </c>
      <c r="F72" s="1">
        <v>6167102</v>
      </c>
      <c r="G72" s="1">
        <v>53825243</v>
      </c>
      <c r="H72" s="1">
        <f t="shared" si="7"/>
        <v>59429066</v>
      </c>
      <c r="I72" s="1">
        <v>707246</v>
      </c>
      <c r="J72" s="1">
        <v>60687</v>
      </c>
      <c r="K72" s="1">
        <v>767933</v>
      </c>
      <c r="L72" s="1">
        <v>40578576</v>
      </c>
      <c r="M72" s="1">
        <v>16552513</v>
      </c>
      <c r="N72" s="1">
        <v>57131088</v>
      </c>
      <c r="O72" s="1">
        <v>53450483</v>
      </c>
      <c r="P72" s="1">
        <v>22297823</v>
      </c>
      <c r="Q72" s="1">
        <v>75748306</v>
      </c>
      <c r="R72">
        <v>75.92</v>
      </c>
      <c r="S72">
        <v>74.23</v>
      </c>
      <c r="T72">
        <v>75.42</v>
      </c>
      <c r="U72" s="2">
        <f t="shared" si="5"/>
        <v>39753</v>
      </c>
      <c r="V72" t="str">
        <f t="shared" si="6"/>
        <v>Fall</v>
      </c>
    </row>
    <row r="73" spans="1:22" x14ac:dyDescent="0.35">
      <c r="A73">
        <v>2008</v>
      </c>
      <c r="B73">
        <v>12</v>
      </c>
      <c r="C73" t="str">
        <f t="shared" si="4"/>
        <v>Fall</v>
      </c>
      <c r="D73">
        <f>IF(G73 &gt;= Table4[[#Totals],[Pax]], 1, 0)</f>
        <v>0</v>
      </c>
      <c r="E73" s="1">
        <v>50253658</v>
      </c>
      <c r="F73" s="1">
        <v>6881238</v>
      </c>
      <c r="G73" s="1">
        <v>57134896</v>
      </c>
      <c r="H73" s="1">
        <f t="shared" si="7"/>
        <v>53825243</v>
      </c>
      <c r="I73" s="1">
        <v>720062</v>
      </c>
      <c r="J73" s="1">
        <v>65422</v>
      </c>
      <c r="K73" s="1">
        <v>785484</v>
      </c>
      <c r="L73" s="1">
        <v>43824845</v>
      </c>
      <c r="M73" s="1">
        <v>18277979</v>
      </c>
      <c r="N73" s="1">
        <v>62102823</v>
      </c>
      <c r="O73" s="1">
        <v>55361168</v>
      </c>
      <c r="P73" s="1">
        <v>23773025</v>
      </c>
      <c r="Q73" s="1">
        <v>79134193</v>
      </c>
      <c r="R73">
        <v>79.16</v>
      </c>
      <c r="S73">
        <v>76.89</v>
      </c>
      <c r="T73">
        <v>78.48</v>
      </c>
      <c r="U73" s="2">
        <f t="shared" si="5"/>
        <v>39783</v>
      </c>
      <c r="V73" t="str">
        <f t="shared" si="6"/>
        <v>Winter</v>
      </c>
    </row>
    <row r="74" spans="1:22" x14ac:dyDescent="0.35">
      <c r="A74">
        <v>2009</v>
      </c>
      <c r="B74">
        <v>1</v>
      </c>
      <c r="C74" t="str">
        <f t="shared" si="4"/>
        <v>Winter</v>
      </c>
      <c r="D74">
        <f>IF(G74 &gt;= Table4[[#Totals],[Pax]], 1, 0)</f>
        <v>0</v>
      </c>
      <c r="E74" s="1">
        <v>44821711</v>
      </c>
      <c r="F74" s="1">
        <v>6737730</v>
      </c>
      <c r="G74" s="1">
        <v>51559441</v>
      </c>
      <c r="H74" s="1">
        <f t="shared" si="7"/>
        <v>57134896</v>
      </c>
      <c r="I74" s="1">
        <v>709933</v>
      </c>
      <c r="J74" s="1">
        <v>66971</v>
      </c>
      <c r="K74" s="1">
        <v>776904</v>
      </c>
      <c r="L74" s="1">
        <v>39299677</v>
      </c>
      <c r="M74" s="1">
        <v>17528664</v>
      </c>
      <c r="N74" s="1">
        <v>56828341</v>
      </c>
      <c r="O74" s="1">
        <v>53952827</v>
      </c>
      <c r="P74" s="1">
        <v>23989981</v>
      </c>
      <c r="Q74" s="1">
        <v>77942808</v>
      </c>
      <c r="R74">
        <v>72.84</v>
      </c>
      <c r="S74">
        <v>73.069999999999993</v>
      </c>
      <c r="T74">
        <v>72.91</v>
      </c>
      <c r="U74" s="2">
        <f t="shared" si="5"/>
        <v>39814</v>
      </c>
      <c r="V74" t="str">
        <f t="shared" si="6"/>
        <v>Winter</v>
      </c>
    </row>
    <row r="75" spans="1:22" x14ac:dyDescent="0.35">
      <c r="A75">
        <v>2009</v>
      </c>
      <c r="B75">
        <v>2</v>
      </c>
      <c r="C75" t="str">
        <f t="shared" si="4"/>
        <v>Winter</v>
      </c>
      <c r="D75">
        <f>IF(G75 &gt;= Table4[[#Totals],[Pax]], 1, 0)</f>
        <v>0</v>
      </c>
      <c r="E75" s="1">
        <v>43677233</v>
      </c>
      <c r="F75" s="1">
        <v>5970396</v>
      </c>
      <c r="G75" s="1">
        <v>49647629</v>
      </c>
      <c r="H75" s="1">
        <f t="shared" si="7"/>
        <v>51559441</v>
      </c>
      <c r="I75" s="1">
        <v>659899</v>
      </c>
      <c r="J75" s="1">
        <v>61219</v>
      </c>
      <c r="K75" s="1">
        <v>721118</v>
      </c>
      <c r="L75" s="1">
        <v>37640543</v>
      </c>
      <c r="M75" s="1">
        <v>14607464</v>
      </c>
      <c r="N75" s="1">
        <v>52248007</v>
      </c>
      <c r="O75" s="1">
        <v>49969299</v>
      </c>
      <c r="P75" s="1">
        <v>21295607</v>
      </c>
      <c r="Q75" s="1">
        <v>71264906</v>
      </c>
      <c r="R75">
        <v>75.33</v>
      </c>
      <c r="S75">
        <v>68.59</v>
      </c>
      <c r="T75">
        <v>73.319999999999993</v>
      </c>
      <c r="U75" s="2">
        <f t="shared" si="5"/>
        <v>39845</v>
      </c>
      <c r="V75" t="str">
        <f t="shared" si="6"/>
        <v>Winter</v>
      </c>
    </row>
    <row r="76" spans="1:22" x14ac:dyDescent="0.35">
      <c r="A76">
        <v>2009</v>
      </c>
      <c r="B76">
        <v>3</v>
      </c>
      <c r="C76" t="str">
        <f t="shared" si="4"/>
        <v>Spring</v>
      </c>
      <c r="D76">
        <f>IF(G76 &gt;= Table4[[#Totals],[Pax]], 1, 0)</f>
        <v>0</v>
      </c>
      <c r="E76" s="1">
        <v>53531487</v>
      </c>
      <c r="F76" s="1">
        <v>7227487</v>
      </c>
      <c r="G76" s="1">
        <v>60758974</v>
      </c>
      <c r="H76" s="1">
        <f t="shared" si="7"/>
        <v>49647629</v>
      </c>
      <c r="I76" s="1">
        <v>747363</v>
      </c>
      <c r="J76" s="1">
        <v>69764</v>
      </c>
      <c r="K76" s="1">
        <v>817127</v>
      </c>
      <c r="L76" s="1">
        <v>46517762</v>
      </c>
      <c r="M76" s="1">
        <v>18128641</v>
      </c>
      <c r="N76" s="1">
        <v>64646403</v>
      </c>
      <c r="O76" s="1">
        <v>57331259</v>
      </c>
      <c r="P76" s="1">
        <v>24114710</v>
      </c>
      <c r="Q76" s="1">
        <v>81445969</v>
      </c>
      <c r="R76">
        <v>81.14</v>
      </c>
      <c r="S76">
        <v>75.180000000000007</v>
      </c>
      <c r="T76">
        <v>79.37</v>
      </c>
      <c r="U76" s="2">
        <f t="shared" si="5"/>
        <v>39873</v>
      </c>
      <c r="V76" t="str">
        <f t="shared" si="6"/>
        <v>Spring</v>
      </c>
    </row>
    <row r="77" spans="1:22" x14ac:dyDescent="0.35">
      <c r="A77">
        <v>2009</v>
      </c>
      <c r="B77">
        <v>4</v>
      </c>
      <c r="C77" t="str">
        <f t="shared" si="4"/>
        <v>Spring</v>
      </c>
      <c r="D77">
        <f>IF(G77 &gt;= Table4[[#Totals],[Pax]], 1, 0)</f>
        <v>0</v>
      </c>
      <c r="E77" s="1">
        <v>52245401</v>
      </c>
      <c r="F77" s="1">
        <v>7086357</v>
      </c>
      <c r="G77" s="1">
        <v>59331758</v>
      </c>
      <c r="H77" s="1">
        <f t="shared" si="7"/>
        <v>60758974</v>
      </c>
      <c r="I77" s="1">
        <v>728856</v>
      </c>
      <c r="J77" s="1">
        <v>67069</v>
      </c>
      <c r="K77" s="1">
        <v>795925</v>
      </c>
      <c r="L77" s="1">
        <v>45419272</v>
      </c>
      <c r="M77" s="1">
        <v>18450057</v>
      </c>
      <c r="N77" s="1">
        <v>63869329</v>
      </c>
      <c r="O77" s="1">
        <v>55279977</v>
      </c>
      <c r="P77" s="1">
        <v>23917823</v>
      </c>
      <c r="Q77" s="1">
        <v>79197800</v>
      </c>
      <c r="R77">
        <v>82.16</v>
      </c>
      <c r="S77">
        <v>77.14</v>
      </c>
      <c r="T77">
        <v>80.650000000000006</v>
      </c>
      <c r="U77" s="2">
        <f t="shared" si="5"/>
        <v>39904</v>
      </c>
      <c r="V77" t="str">
        <f t="shared" si="6"/>
        <v>Spring</v>
      </c>
    </row>
    <row r="78" spans="1:22" x14ac:dyDescent="0.35">
      <c r="A78">
        <v>2009</v>
      </c>
      <c r="B78">
        <v>5</v>
      </c>
      <c r="C78" t="str">
        <f t="shared" si="4"/>
        <v>Spring</v>
      </c>
      <c r="D78">
        <f>IF(G78 &gt;= Table4[[#Totals],[Pax]], 1, 0)</f>
        <v>0</v>
      </c>
      <c r="E78" s="1">
        <v>52948582</v>
      </c>
      <c r="F78" s="1">
        <v>6597012</v>
      </c>
      <c r="G78" s="1">
        <v>59545594</v>
      </c>
      <c r="H78" s="1">
        <f t="shared" si="7"/>
        <v>59331758</v>
      </c>
      <c r="I78" s="1">
        <v>748984</v>
      </c>
      <c r="J78" s="1">
        <v>63841</v>
      </c>
      <c r="K78" s="1">
        <v>812825</v>
      </c>
      <c r="L78" s="1">
        <v>45980480</v>
      </c>
      <c r="M78" s="1">
        <v>18545191</v>
      </c>
      <c r="N78" s="1">
        <v>64525671</v>
      </c>
      <c r="O78" s="1">
        <v>56504772</v>
      </c>
      <c r="P78" s="1">
        <v>24407091</v>
      </c>
      <c r="Q78" s="1">
        <v>80911862</v>
      </c>
      <c r="R78">
        <v>81.37</v>
      </c>
      <c r="S78">
        <v>75.98</v>
      </c>
      <c r="T78">
        <v>79.75</v>
      </c>
      <c r="U78" s="2">
        <f t="shared" si="5"/>
        <v>39934</v>
      </c>
      <c r="V78" t="str">
        <f t="shared" si="6"/>
        <v>Spring</v>
      </c>
    </row>
    <row r="79" spans="1:22" x14ac:dyDescent="0.35">
      <c r="A79">
        <v>2009</v>
      </c>
      <c r="B79">
        <v>6</v>
      </c>
      <c r="C79" t="str">
        <f t="shared" si="4"/>
        <v>Summer</v>
      </c>
      <c r="D79">
        <f>IF(G79 &gt;= Table4[[#Totals],[Pax]], 1, 0)</f>
        <v>1</v>
      </c>
      <c r="E79" s="1">
        <v>55898027</v>
      </c>
      <c r="F79" s="1">
        <v>7460171</v>
      </c>
      <c r="G79" s="1">
        <v>63358198</v>
      </c>
      <c r="H79" s="1">
        <f t="shared" si="7"/>
        <v>59545594</v>
      </c>
      <c r="I79" s="1">
        <v>760136</v>
      </c>
      <c r="J79" s="1">
        <v>66341</v>
      </c>
      <c r="K79" s="1">
        <v>826477</v>
      </c>
      <c r="L79" s="1">
        <v>49290277</v>
      </c>
      <c r="M79" s="1">
        <v>20784769</v>
      </c>
      <c r="N79" s="1">
        <v>70075046</v>
      </c>
      <c r="O79" s="1">
        <v>57716483</v>
      </c>
      <c r="P79" s="1">
        <v>25414368</v>
      </c>
      <c r="Q79" s="1">
        <v>83130851</v>
      </c>
      <c r="R79">
        <v>85.4</v>
      </c>
      <c r="S79">
        <v>81.78</v>
      </c>
      <c r="T79">
        <v>84.29</v>
      </c>
      <c r="U79" s="2">
        <f t="shared" si="5"/>
        <v>39965</v>
      </c>
      <c r="V79" t="str">
        <f t="shared" si="6"/>
        <v>Summer</v>
      </c>
    </row>
    <row r="80" spans="1:22" x14ac:dyDescent="0.35">
      <c r="A80">
        <v>2009</v>
      </c>
      <c r="B80">
        <v>7</v>
      </c>
      <c r="C80" t="str">
        <f t="shared" si="4"/>
        <v>Summer</v>
      </c>
      <c r="D80">
        <f>IF(G80 &gt;= Table4[[#Totals],[Pax]], 1, 0)</f>
        <v>1</v>
      </c>
      <c r="E80" s="1">
        <v>59468957</v>
      </c>
      <c r="F80" s="1">
        <v>8399115</v>
      </c>
      <c r="G80" s="1">
        <v>67868072</v>
      </c>
      <c r="H80" s="1">
        <f t="shared" si="7"/>
        <v>63358198</v>
      </c>
      <c r="I80" s="1">
        <v>793994</v>
      </c>
      <c r="J80" s="1">
        <v>71164</v>
      </c>
      <c r="K80" s="1">
        <v>865158</v>
      </c>
      <c r="L80" s="1">
        <v>52704797</v>
      </c>
      <c r="M80" s="1">
        <v>22969194</v>
      </c>
      <c r="N80" s="1">
        <v>75673991</v>
      </c>
      <c r="O80" s="1">
        <v>60499991</v>
      </c>
      <c r="P80" s="1">
        <v>27022263</v>
      </c>
      <c r="Q80" s="1">
        <v>87522254</v>
      </c>
      <c r="R80">
        <v>87.12</v>
      </c>
      <c r="S80">
        <v>85</v>
      </c>
      <c r="T80">
        <v>86.46</v>
      </c>
      <c r="U80" s="2">
        <f t="shared" si="5"/>
        <v>39995</v>
      </c>
      <c r="V80" t="str">
        <f t="shared" si="6"/>
        <v>Summer</v>
      </c>
    </row>
    <row r="81" spans="1:22" x14ac:dyDescent="0.35">
      <c r="A81">
        <v>2009</v>
      </c>
      <c r="B81">
        <v>8</v>
      </c>
      <c r="C81" t="str">
        <f t="shared" si="4"/>
        <v>Summer</v>
      </c>
      <c r="D81">
        <f>IF(G81 &gt;= Table4[[#Totals],[Pax]], 1, 0)</f>
        <v>1</v>
      </c>
      <c r="E81" s="1">
        <v>56568180</v>
      </c>
      <c r="F81" s="1">
        <v>8217868</v>
      </c>
      <c r="G81" s="1">
        <v>64786048</v>
      </c>
      <c r="H81" s="1">
        <f t="shared" si="7"/>
        <v>67868072</v>
      </c>
      <c r="I81" s="1">
        <v>781315</v>
      </c>
      <c r="J81" s="1">
        <v>70022</v>
      </c>
      <c r="K81" s="1">
        <v>851337</v>
      </c>
      <c r="L81" s="1">
        <v>50467288</v>
      </c>
      <c r="M81" s="1">
        <v>22619720</v>
      </c>
      <c r="N81" s="1">
        <v>73087008</v>
      </c>
      <c r="O81" s="1">
        <v>59356980</v>
      </c>
      <c r="P81" s="1">
        <v>26667531</v>
      </c>
      <c r="Q81" s="1">
        <v>86024512</v>
      </c>
      <c r="R81">
        <v>85.02</v>
      </c>
      <c r="S81">
        <v>84.82</v>
      </c>
      <c r="T81">
        <v>84.96</v>
      </c>
      <c r="U81" s="2">
        <f t="shared" si="5"/>
        <v>40026</v>
      </c>
      <c r="V81" t="str">
        <f t="shared" si="6"/>
        <v>Summer</v>
      </c>
    </row>
    <row r="82" spans="1:22" x14ac:dyDescent="0.35">
      <c r="A82">
        <v>2009</v>
      </c>
      <c r="B82">
        <v>9</v>
      </c>
      <c r="C82" t="str">
        <f t="shared" si="4"/>
        <v>Fall</v>
      </c>
      <c r="D82">
        <f>IF(G82 &gt;= Table4[[#Totals],[Pax]], 1, 0)</f>
        <v>0</v>
      </c>
      <c r="E82" s="1">
        <v>48235025</v>
      </c>
      <c r="F82" s="1">
        <v>6219954</v>
      </c>
      <c r="G82" s="1">
        <v>54454979</v>
      </c>
      <c r="H82" s="1">
        <f t="shared" si="7"/>
        <v>64786048</v>
      </c>
      <c r="I82" s="1">
        <v>709793</v>
      </c>
      <c r="J82" s="1">
        <v>57696</v>
      </c>
      <c r="K82" s="1">
        <v>767489</v>
      </c>
      <c r="L82" s="1">
        <v>41656736</v>
      </c>
      <c r="M82" s="1">
        <v>18400287</v>
      </c>
      <c r="N82" s="1">
        <v>60057023</v>
      </c>
      <c r="O82" s="1">
        <v>52447273</v>
      </c>
      <c r="P82" s="1">
        <v>22830033</v>
      </c>
      <c r="Q82" s="1">
        <v>75277306</v>
      </c>
      <c r="R82">
        <v>79.430000000000007</v>
      </c>
      <c r="S82">
        <v>80.599999999999994</v>
      </c>
      <c r="T82">
        <v>79.78</v>
      </c>
      <c r="U82" s="2">
        <f t="shared" si="5"/>
        <v>40057</v>
      </c>
      <c r="V82" t="str">
        <f t="shared" si="6"/>
        <v>Fall</v>
      </c>
    </row>
    <row r="83" spans="1:22" x14ac:dyDescent="0.35">
      <c r="A83">
        <v>2009</v>
      </c>
      <c r="B83">
        <v>10</v>
      </c>
      <c r="C83" t="str">
        <f t="shared" si="4"/>
        <v>Fall</v>
      </c>
      <c r="D83">
        <f>IF(G83 &gt;= Table4[[#Totals],[Pax]], 1, 0)</f>
        <v>0</v>
      </c>
      <c r="E83" s="1">
        <v>52279405</v>
      </c>
      <c r="F83" s="1">
        <v>6295084</v>
      </c>
      <c r="G83" s="1">
        <v>58574489</v>
      </c>
      <c r="H83" s="1">
        <f t="shared" si="7"/>
        <v>54454979</v>
      </c>
      <c r="I83" s="1">
        <v>726573</v>
      </c>
      <c r="J83" s="1">
        <v>58273</v>
      </c>
      <c r="K83" s="1">
        <v>784846</v>
      </c>
      <c r="L83" s="1">
        <v>44781574</v>
      </c>
      <c r="M83" s="1">
        <v>18053025</v>
      </c>
      <c r="N83" s="1">
        <v>62834599</v>
      </c>
      <c r="O83" s="1">
        <v>54453800</v>
      </c>
      <c r="P83" s="1">
        <v>22015791</v>
      </c>
      <c r="Q83" s="1">
        <v>76469591</v>
      </c>
      <c r="R83">
        <v>82.24</v>
      </c>
      <c r="S83">
        <v>82</v>
      </c>
      <c r="T83">
        <v>82.17</v>
      </c>
      <c r="U83" s="2">
        <f t="shared" si="5"/>
        <v>40087</v>
      </c>
      <c r="V83" t="str">
        <f t="shared" si="6"/>
        <v>Fall</v>
      </c>
    </row>
    <row r="84" spans="1:22" x14ac:dyDescent="0.35">
      <c r="A84">
        <v>2009</v>
      </c>
      <c r="B84">
        <v>11</v>
      </c>
      <c r="C84" t="str">
        <f t="shared" si="4"/>
        <v>Fall</v>
      </c>
      <c r="D84">
        <f>IF(G84 &gt;= Table4[[#Totals],[Pax]], 1, 0)</f>
        <v>0</v>
      </c>
      <c r="E84" s="1">
        <v>48584832</v>
      </c>
      <c r="F84" s="1">
        <v>6008261</v>
      </c>
      <c r="G84" s="1">
        <v>54593093</v>
      </c>
      <c r="H84" s="1">
        <f t="shared" si="7"/>
        <v>58574489</v>
      </c>
      <c r="I84" s="1">
        <v>694749</v>
      </c>
      <c r="J84" s="1">
        <v>58724</v>
      </c>
      <c r="K84" s="1">
        <v>753473</v>
      </c>
      <c r="L84" s="1">
        <v>41573015</v>
      </c>
      <c r="M84" s="1">
        <v>16087062</v>
      </c>
      <c r="N84" s="1">
        <v>57660077</v>
      </c>
      <c r="O84" s="1">
        <v>52483155</v>
      </c>
      <c r="P84" s="1">
        <v>20614479</v>
      </c>
      <c r="Q84" s="1">
        <v>73097634</v>
      </c>
      <c r="R84">
        <v>79.209999999999994</v>
      </c>
      <c r="S84">
        <v>78.040000000000006</v>
      </c>
      <c r="T84">
        <v>78.88</v>
      </c>
      <c r="U84" s="2">
        <f t="shared" si="5"/>
        <v>40118</v>
      </c>
      <c r="V84" t="str">
        <f t="shared" si="6"/>
        <v>Fall</v>
      </c>
    </row>
    <row r="85" spans="1:22" x14ac:dyDescent="0.35">
      <c r="A85">
        <v>2009</v>
      </c>
      <c r="B85">
        <v>12</v>
      </c>
      <c r="C85" t="str">
        <f t="shared" si="4"/>
        <v>Fall</v>
      </c>
      <c r="D85">
        <f>IF(G85 &gt;= Table4[[#Totals],[Pax]], 1, 0)</f>
        <v>0</v>
      </c>
      <c r="E85" s="1">
        <v>49793438</v>
      </c>
      <c r="F85" s="1">
        <v>6892742</v>
      </c>
      <c r="G85" s="1">
        <v>56686180</v>
      </c>
      <c r="H85" s="1">
        <f t="shared" si="7"/>
        <v>54593093</v>
      </c>
      <c r="I85" s="1">
        <v>704840</v>
      </c>
      <c r="J85" s="1">
        <v>64801</v>
      </c>
      <c r="K85" s="1">
        <v>769641</v>
      </c>
      <c r="L85" s="1">
        <v>43650676</v>
      </c>
      <c r="M85" s="1">
        <v>18175003</v>
      </c>
      <c r="N85" s="1">
        <v>61825679</v>
      </c>
      <c r="O85" s="1">
        <v>54631259</v>
      </c>
      <c r="P85" s="1">
        <v>22325659</v>
      </c>
      <c r="Q85" s="1">
        <v>76956918</v>
      </c>
      <c r="R85">
        <v>79.900000000000006</v>
      </c>
      <c r="S85">
        <v>81.41</v>
      </c>
      <c r="T85">
        <v>80.34</v>
      </c>
      <c r="U85" s="2">
        <f t="shared" si="5"/>
        <v>40148</v>
      </c>
      <c r="V85" t="str">
        <f t="shared" si="6"/>
        <v>Winter</v>
      </c>
    </row>
    <row r="86" spans="1:22" x14ac:dyDescent="0.35">
      <c r="A86">
        <v>2010</v>
      </c>
      <c r="B86">
        <v>1</v>
      </c>
      <c r="C86" t="str">
        <f t="shared" si="4"/>
        <v>Winter</v>
      </c>
      <c r="D86">
        <f>IF(G86 &gt;= Table4[[#Totals],[Pax]], 1, 0)</f>
        <v>0</v>
      </c>
      <c r="E86" s="1">
        <v>45501620</v>
      </c>
      <c r="F86" s="1">
        <v>6816044</v>
      </c>
      <c r="G86" s="1">
        <v>52317664</v>
      </c>
      <c r="H86" s="1">
        <f t="shared" si="7"/>
        <v>56686180</v>
      </c>
      <c r="I86" s="1">
        <v>694852</v>
      </c>
      <c r="J86" s="1">
        <v>66583</v>
      </c>
      <c r="K86" s="1">
        <v>761435</v>
      </c>
      <c r="L86" s="1">
        <v>40301481</v>
      </c>
      <c r="M86" s="1">
        <v>17841075</v>
      </c>
      <c r="N86" s="1">
        <v>58142556</v>
      </c>
      <c r="O86" s="1">
        <v>53795975</v>
      </c>
      <c r="P86" s="1">
        <v>23088105</v>
      </c>
      <c r="Q86" s="1">
        <v>76884080</v>
      </c>
      <c r="R86">
        <v>74.92</v>
      </c>
      <c r="S86">
        <v>77.27</v>
      </c>
      <c r="T86">
        <v>75.62</v>
      </c>
      <c r="U86" s="2">
        <f t="shared" si="5"/>
        <v>40179</v>
      </c>
      <c r="V86" t="str">
        <f t="shared" si="6"/>
        <v>Winter</v>
      </c>
    </row>
    <row r="87" spans="1:22" x14ac:dyDescent="0.35">
      <c r="A87">
        <v>2010</v>
      </c>
      <c r="B87">
        <v>2</v>
      </c>
      <c r="C87" t="str">
        <f t="shared" si="4"/>
        <v>Winter</v>
      </c>
      <c r="D87">
        <f>IF(G87 &gt;= Table4[[#Totals],[Pax]], 1, 0)</f>
        <v>0</v>
      </c>
      <c r="E87" s="1">
        <v>42440614</v>
      </c>
      <c r="F87" s="1">
        <v>6014415</v>
      </c>
      <c r="G87" s="1">
        <v>48455029</v>
      </c>
      <c r="H87" s="1">
        <f t="shared" si="7"/>
        <v>52317664</v>
      </c>
      <c r="I87" s="1">
        <v>622999</v>
      </c>
      <c r="J87" s="1">
        <v>59833</v>
      </c>
      <c r="K87" s="1">
        <v>682832</v>
      </c>
      <c r="L87" s="1">
        <v>36997641</v>
      </c>
      <c r="M87" s="1">
        <v>14973899</v>
      </c>
      <c r="N87" s="1">
        <v>51971540</v>
      </c>
      <c r="O87" s="1">
        <v>47817552</v>
      </c>
      <c r="P87" s="1">
        <v>20153781</v>
      </c>
      <c r="Q87" s="1">
        <v>67971333</v>
      </c>
      <c r="R87">
        <v>77.37</v>
      </c>
      <c r="S87">
        <v>74.3</v>
      </c>
      <c r="T87">
        <v>76.459999999999994</v>
      </c>
      <c r="U87" s="2">
        <f t="shared" si="5"/>
        <v>40210</v>
      </c>
      <c r="V87" t="str">
        <f t="shared" si="6"/>
        <v>Winter</v>
      </c>
    </row>
    <row r="88" spans="1:22" x14ac:dyDescent="0.35">
      <c r="A88">
        <v>2010</v>
      </c>
      <c r="B88">
        <v>3</v>
      </c>
      <c r="C88" t="str">
        <f t="shared" si="4"/>
        <v>Spring</v>
      </c>
      <c r="D88">
        <f>IF(G88 &gt;= Table4[[#Totals],[Pax]], 1, 0)</f>
        <v>0</v>
      </c>
      <c r="E88" s="1">
        <v>54424077</v>
      </c>
      <c r="F88" s="1">
        <v>7531317</v>
      </c>
      <c r="G88" s="1">
        <v>61955394</v>
      </c>
      <c r="H88" s="1">
        <f t="shared" si="7"/>
        <v>48455029</v>
      </c>
      <c r="I88" s="1">
        <v>739894</v>
      </c>
      <c r="J88" s="1">
        <v>69737</v>
      </c>
      <c r="K88" s="1">
        <v>809631</v>
      </c>
      <c r="L88" s="1">
        <v>47619591</v>
      </c>
      <c r="M88" s="1">
        <v>19146484</v>
      </c>
      <c r="N88" s="1">
        <v>66766075</v>
      </c>
      <c r="O88" s="1">
        <v>57080653</v>
      </c>
      <c r="P88" s="1">
        <v>23685717</v>
      </c>
      <c r="Q88" s="1">
        <v>80766370</v>
      </c>
      <c r="R88">
        <v>83.43</v>
      </c>
      <c r="S88">
        <v>80.84</v>
      </c>
      <c r="T88">
        <v>82.67</v>
      </c>
      <c r="U88" s="2">
        <f t="shared" si="5"/>
        <v>40238</v>
      </c>
      <c r="V88" t="str">
        <f t="shared" si="6"/>
        <v>Spring</v>
      </c>
    </row>
    <row r="89" spans="1:22" x14ac:dyDescent="0.35">
      <c r="A89">
        <v>2010</v>
      </c>
      <c r="B89">
        <v>4</v>
      </c>
      <c r="C89" t="str">
        <f t="shared" si="4"/>
        <v>Spring</v>
      </c>
      <c r="D89">
        <f>IF(G89 &gt;= Table4[[#Totals],[Pax]], 1, 0)</f>
        <v>0</v>
      </c>
      <c r="E89" s="1">
        <v>52498074</v>
      </c>
      <c r="F89" s="1">
        <v>6941422</v>
      </c>
      <c r="G89" s="1">
        <v>59439496</v>
      </c>
      <c r="H89" s="1">
        <f t="shared" si="7"/>
        <v>61955394</v>
      </c>
      <c r="I89" s="1">
        <v>722566</v>
      </c>
      <c r="J89" s="1">
        <v>66054</v>
      </c>
      <c r="K89" s="1">
        <v>788620</v>
      </c>
      <c r="L89" s="1">
        <v>45662025</v>
      </c>
      <c r="M89" s="1">
        <v>17935164</v>
      </c>
      <c r="N89" s="1">
        <v>63597189</v>
      </c>
      <c r="O89" s="1">
        <v>55280651</v>
      </c>
      <c r="P89" s="1">
        <v>22592040</v>
      </c>
      <c r="Q89" s="1">
        <v>77872690</v>
      </c>
      <c r="R89">
        <v>82.6</v>
      </c>
      <c r="S89">
        <v>79.39</v>
      </c>
      <c r="T89">
        <v>81.67</v>
      </c>
      <c r="U89" s="2">
        <f t="shared" si="5"/>
        <v>40269</v>
      </c>
      <c r="V89" t="str">
        <f t="shared" si="6"/>
        <v>Spring</v>
      </c>
    </row>
    <row r="90" spans="1:22" x14ac:dyDescent="0.35">
      <c r="A90">
        <v>2010</v>
      </c>
      <c r="B90">
        <v>5</v>
      </c>
      <c r="C90" t="str">
        <f t="shared" si="4"/>
        <v>Spring</v>
      </c>
      <c r="D90">
        <f>IF(G90 &gt;= Table4[[#Totals],[Pax]], 1, 0)</f>
        <v>0</v>
      </c>
      <c r="E90" s="1">
        <v>53842422</v>
      </c>
      <c r="F90" s="1">
        <v>7402599</v>
      </c>
      <c r="G90" s="1">
        <v>61245021</v>
      </c>
      <c r="H90" s="1">
        <f t="shared" si="7"/>
        <v>59439496</v>
      </c>
      <c r="I90" s="1">
        <v>741574</v>
      </c>
      <c r="J90" s="1">
        <v>68031</v>
      </c>
      <c r="K90" s="1">
        <v>809605</v>
      </c>
      <c r="L90" s="1">
        <v>46953589</v>
      </c>
      <c r="M90" s="1">
        <v>20542809</v>
      </c>
      <c r="N90" s="1">
        <v>67496398</v>
      </c>
      <c r="O90" s="1">
        <v>56898062</v>
      </c>
      <c r="P90" s="1">
        <v>25079577</v>
      </c>
      <c r="Q90" s="1">
        <v>81977639</v>
      </c>
      <c r="R90">
        <v>82.52</v>
      </c>
      <c r="S90">
        <v>81.91</v>
      </c>
      <c r="T90">
        <v>82.34</v>
      </c>
      <c r="U90" s="2">
        <f t="shared" si="5"/>
        <v>40299</v>
      </c>
      <c r="V90" t="str">
        <f t="shared" si="6"/>
        <v>Spring</v>
      </c>
    </row>
    <row r="91" spans="1:22" x14ac:dyDescent="0.35">
      <c r="A91">
        <v>2010</v>
      </c>
      <c r="B91">
        <v>6</v>
      </c>
      <c r="C91" t="str">
        <f t="shared" si="4"/>
        <v>Summer</v>
      </c>
      <c r="D91">
        <f>IF(G91 &gt;= Table4[[#Totals],[Pax]], 1, 0)</f>
        <v>1</v>
      </c>
      <c r="E91" s="1">
        <v>56689853</v>
      </c>
      <c r="F91" s="1">
        <v>8100494</v>
      </c>
      <c r="G91" s="1">
        <v>64790347</v>
      </c>
      <c r="H91" s="1">
        <f t="shared" si="7"/>
        <v>61245021</v>
      </c>
      <c r="I91" s="1">
        <v>751326</v>
      </c>
      <c r="J91" s="1">
        <v>70427</v>
      </c>
      <c r="K91" s="1">
        <v>821753</v>
      </c>
      <c r="L91" s="1">
        <v>50387611</v>
      </c>
      <c r="M91" s="1">
        <v>22717510</v>
      </c>
      <c r="N91" s="1">
        <v>73105121</v>
      </c>
      <c r="O91" s="1">
        <v>58353230</v>
      </c>
      <c r="P91" s="1">
        <v>26433891</v>
      </c>
      <c r="Q91" s="1">
        <v>84787121</v>
      </c>
      <c r="R91">
        <v>86.35</v>
      </c>
      <c r="S91">
        <v>85.94</v>
      </c>
      <c r="T91">
        <v>86.22</v>
      </c>
      <c r="U91" s="2">
        <f t="shared" si="5"/>
        <v>40330</v>
      </c>
      <c r="V91" t="str">
        <f t="shared" si="6"/>
        <v>Summer</v>
      </c>
    </row>
    <row r="92" spans="1:22" x14ac:dyDescent="0.35">
      <c r="A92">
        <v>2010</v>
      </c>
      <c r="B92">
        <v>7</v>
      </c>
      <c r="C92" t="str">
        <f t="shared" si="4"/>
        <v>Summer</v>
      </c>
      <c r="D92">
        <f>IF(G92 &gt;= Table4[[#Totals],[Pax]], 1, 0)</f>
        <v>1</v>
      </c>
      <c r="E92" s="1">
        <v>59142493</v>
      </c>
      <c r="F92" s="1">
        <v>9052302</v>
      </c>
      <c r="G92" s="1">
        <v>68194795</v>
      </c>
      <c r="H92" s="1">
        <f t="shared" si="7"/>
        <v>64790347</v>
      </c>
      <c r="I92" s="1">
        <v>782439</v>
      </c>
      <c r="J92" s="1">
        <v>76123</v>
      </c>
      <c r="K92" s="1">
        <v>858562</v>
      </c>
      <c r="L92" s="1">
        <v>53095873</v>
      </c>
      <c r="M92" s="1">
        <v>24587686</v>
      </c>
      <c r="N92" s="1">
        <v>77683559</v>
      </c>
      <c r="O92" s="1">
        <v>61069806</v>
      </c>
      <c r="P92" s="1">
        <v>28347052</v>
      </c>
      <c r="Q92" s="1">
        <v>89416858</v>
      </c>
      <c r="R92">
        <v>86.94</v>
      </c>
      <c r="S92">
        <v>86.74</v>
      </c>
      <c r="T92">
        <v>86.88</v>
      </c>
      <c r="U92" s="2">
        <f t="shared" si="5"/>
        <v>40360</v>
      </c>
      <c r="V92" t="str">
        <f t="shared" si="6"/>
        <v>Summer</v>
      </c>
    </row>
    <row r="93" spans="1:22" x14ac:dyDescent="0.35">
      <c r="A93">
        <v>2010</v>
      </c>
      <c r="B93">
        <v>8</v>
      </c>
      <c r="C93" t="str">
        <f t="shared" si="4"/>
        <v>Summer</v>
      </c>
      <c r="D93">
        <f>IF(G93 &gt;= Table4[[#Totals],[Pax]], 1, 0)</f>
        <v>1</v>
      </c>
      <c r="E93" s="1">
        <v>57370748</v>
      </c>
      <c r="F93" s="1">
        <v>8646519</v>
      </c>
      <c r="G93" s="1">
        <v>66017267</v>
      </c>
      <c r="H93" s="1">
        <f t="shared" si="7"/>
        <v>68194795</v>
      </c>
      <c r="I93" s="1">
        <v>781423</v>
      </c>
      <c r="J93" s="1">
        <v>72823</v>
      </c>
      <c r="K93" s="1">
        <v>854246</v>
      </c>
      <c r="L93" s="1">
        <v>51439492</v>
      </c>
      <c r="M93" s="1">
        <v>23775852</v>
      </c>
      <c r="N93" s="1">
        <v>75215344</v>
      </c>
      <c r="O93" s="1">
        <v>60357973</v>
      </c>
      <c r="P93" s="1">
        <v>27771651</v>
      </c>
      <c r="Q93" s="1">
        <v>88129624</v>
      </c>
      <c r="R93">
        <v>85.22</v>
      </c>
      <c r="S93">
        <v>85.61</v>
      </c>
      <c r="T93">
        <v>85.35</v>
      </c>
      <c r="U93" s="2">
        <f t="shared" si="5"/>
        <v>40391</v>
      </c>
      <c r="V93" t="str">
        <f t="shared" si="6"/>
        <v>Summer</v>
      </c>
    </row>
    <row r="94" spans="1:22" x14ac:dyDescent="0.35">
      <c r="A94">
        <v>2010</v>
      </c>
      <c r="B94">
        <v>9</v>
      </c>
      <c r="C94" t="str">
        <f t="shared" si="4"/>
        <v>Fall</v>
      </c>
      <c r="D94">
        <f>IF(G94 &gt;= Table4[[#Totals],[Pax]], 1, 0)</f>
        <v>0</v>
      </c>
      <c r="E94" s="1">
        <v>50304708</v>
      </c>
      <c r="F94" s="1">
        <v>6847457</v>
      </c>
      <c r="G94" s="1">
        <v>57152165</v>
      </c>
      <c r="H94" s="1">
        <f t="shared" si="7"/>
        <v>66017267</v>
      </c>
      <c r="I94" s="1">
        <v>718643</v>
      </c>
      <c r="J94" s="1">
        <v>60368</v>
      </c>
      <c r="K94" s="1">
        <v>779011</v>
      </c>
      <c r="L94" s="1">
        <v>43694603</v>
      </c>
      <c r="M94" s="1">
        <v>20411172</v>
      </c>
      <c r="N94" s="1">
        <v>64105775</v>
      </c>
      <c r="O94" s="1">
        <v>54729805</v>
      </c>
      <c r="P94" s="1">
        <v>24382358</v>
      </c>
      <c r="Q94" s="1">
        <v>79112164</v>
      </c>
      <c r="R94">
        <v>79.84</v>
      </c>
      <c r="S94">
        <v>83.71</v>
      </c>
      <c r="T94">
        <v>81.03</v>
      </c>
      <c r="U94" s="2">
        <f t="shared" si="5"/>
        <v>40422</v>
      </c>
      <c r="V94" t="str">
        <f t="shared" si="6"/>
        <v>Fall</v>
      </c>
    </row>
    <row r="95" spans="1:22" x14ac:dyDescent="0.35">
      <c r="A95">
        <v>2010</v>
      </c>
      <c r="B95">
        <v>10</v>
      </c>
      <c r="C95" t="str">
        <f t="shared" si="4"/>
        <v>Fall</v>
      </c>
      <c r="D95">
        <f>IF(G95 &gt;= Table4[[#Totals],[Pax]], 1, 0)</f>
        <v>0</v>
      </c>
      <c r="E95" s="1">
        <v>54826050</v>
      </c>
      <c r="F95" s="1">
        <v>7072483</v>
      </c>
      <c r="G95" s="1">
        <v>61898533</v>
      </c>
      <c r="H95" s="1">
        <f t="shared" si="7"/>
        <v>57152165</v>
      </c>
      <c r="I95" s="1">
        <v>737224</v>
      </c>
      <c r="J95" s="1">
        <v>62454</v>
      </c>
      <c r="K95" s="1">
        <v>799678</v>
      </c>
      <c r="L95" s="1">
        <v>47283497</v>
      </c>
      <c r="M95" s="1">
        <v>20434096</v>
      </c>
      <c r="N95" s="1">
        <v>67717592</v>
      </c>
      <c r="O95" s="1">
        <v>56731943</v>
      </c>
      <c r="P95" s="1">
        <v>24764165</v>
      </c>
      <c r="Q95" s="1">
        <v>81496108</v>
      </c>
      <c r="R95">
        <v>83.35</v>
      </c>
      <c r="S95">
        <v>82.51</v>
      </c>
      <c r="T95">
        <v>83.09</v>
      </c>
      <c r="U95" s="2">
        <f t="shared" si="5"/>
        <v>40452</v>
      </c>
      <c r="V95" t="str">
        <f t="shared" si="6"/>
        <v>Fall</v>
      </c>
    </row>
    <row r="96" spans="1:22" x14ac:dyDescent="0.35">
      <c r="A96">
        <v>2010</v>
      </c>
      <c r="B96">
        <v>11</v>
      </c>
      <c r="C96" t="str">
        <f t="shared" si="4"/>
        <v>Fall</v>
      </c>
      <c r="D96">
        <f>IF(G96 &gt;= Table4[[#Totals],[Pax]], 1, 0)</f>
        <v>0</v>
      </c>
      <c r="E96" s="1">
        <v>51420350</v>
      </c>
      <c r="F96" s="1">
        <v>6510189</v>
      </c>
      <c r="G96" s="1">
        <v>57930539</v>
      </c>
      <c r="H96" s="1">
        <f t="shared" si="7"/>
        <v>61898533</v>
      </c>
      <c r="I96" s="1">
        <v>704372</v>
      </c>
      <c r="J96" s="1">
        <v>60704</v>
      </c>
      <c r="K96" s="1">
        <v>765076</v>
      </c>
      <c r="L96" s="1">
        <v>44351331</v>
      </c>
      <c r="M96" s="1">
        <v>17630685</v>
      </c>
      <c r="N96" s="1">
        <v>61982017</v>
      </c>
      <c r="O96" s="1">
        <v>54609482</v>
      </c>
      <c r="P96" s="1">
        <v>22486741</v>
      </c>
      <c r="Q96" s="1">
        <v>77096223</v>
      </c>
      <c r="R96">
        <v>81.22</v>
      </c>
      <c r="S96">
        <v>78.400000000000006</v>
      </c>
      <c r="T96">
        <v>80.400000000000006</v>
      </c>
      <c r="U96" s="2">
        <f t="shared" si="5"/>
        <v>40483</v>
      </c>
      <c r="V96" t="str">
        <f t="shared" si="6"/>
        <v>Fall</v>
      </c>
    </row>
    <row r="97" spans="1:22" x14ac:dyDescent="0.35">
      <c r="A97">
        <v>2010</v>
      </c>
      <c r="B97">
        <v>12</v>
      </c>
      <c r="C97" t="str">
        <f t="shared" si="4"/>
        <v>Fall</v>
      </c>
      <c r="D97">
        <f>IF(G97 &gt;= Table4[[#Totals],[Pax]], 1, 0)</f>
        <v>0</v>
      </c>
      <c r="E97" s="1">
        <v>51076415</v>
      </c>
      <c r="F97" s="1">
        <v>7271391</v>
      </c>
      <c r="G97" s="1">
        <v>58347806</v>
      </c>
      <c r="H97" s="1">
        <f t="shared" si="7"/>
        <v>57930539</v>
      </c>
      <c r="I97" s="1">
        <v>702581</v>
      </c>
      <c r="J97" s="1">
        <v>66014</v>
      </c>
      <c r="K97" s="1">
        <v>768595</v>
      </c>
      <c r="L97" s="1">
        <v>45067192</v>
      </c>
      <c r="M97" s="1">
        <v>19358086</v>
      </c>
      <c r="N97" s="1">
        <v>64425278</v>
      </c>
      <c r="O97" s="1">
        <v>55745538</v>
      </c>
      <c r="P97" s="1">
        <v>24054993</v>
      </c>
      <c r="Q97" s="1">
        <v>79800532</v>
      </c>
      <c r="R97">
        <v>80.84</v>
      </c>
      <c r="S97">
        <v>80.47</v>
      </c>
      <c r="T97">
        <v>80.73</v>
      </c>
      <c r="U97" s="2">
        <f t="shared" si="5"/>
        <v>40513</v>
      </c>
      <c r="V97" t="str">
        <f t="shared" si="6"/>
        <v>Winter</v>
      </c>
    </row>
    <row r="98" spans="1:22" x14ac:dyDescent="0.35">
      <c r="A98">
        <v>2011</v>
      </c>
      <c r="B98">
        <v>1</v>
      </c>
      <c r="C98" t="str">
        <f t="shared" si="4"/>
        <v>Winter</v>
      </c>
      <c r="D98">
        <f>IF(G98 &gt;= Table4[[#Totals],[Pax]], 1, 0)</f>
        <v>0</v>
      </c>
      <c r="E98" s="1">
        <v>46304921</v>
      </c>
      <c r="F98" s="1">
        <v>7155472</v>
      </c>
      <c r="G98" s="1">
        <v>53460393</v>
      </c>
      <c r="H98" s="1">
        <f t="shared" si="7"/>
        <v>58347806</v>
      </c>
      <c r="I98" s="1">
        <v>681152</v>
      </c>
      <c r="J98" s="1">
        <v>68426</v>
      </c>
      <c r="K98" s="1">
        <v>749578</v>
      </c>
      <c r="L98" s="1">
        <v>41187426</v>
      </c>
      <c r="M98" s="1">
        <v>19013720</v>
      </c>
      <c r="N98" s="1">
        <v>60201146</v>
      </c>
      <c r="O98" s="1">
        <v>53804562</v>
      </c>
      <c r="P98" s="1">
        <v>24876445</v>
      </c>
      <c r="Q98" s="1">
        <v>78681007</v>
      </c>
      <c r="R98">
        <v>76.55</v>
      </c>
      <c r="S98">
        <v>76.430000000000007</v>
      </c>
      <c r="T98">
        <v>76.510000000000005</v>
      </c>
      <c r="U98" s="2">
        <f t="shared" si="5"/>
        <v>40544</v>
      </c>
      <c r="V98" t="str">
        <f t="shared" si="6"/>
        <v>Winter</v>
      </c>
    </row>
    <row r="99" spans="1:22" x14ac:dyDescent="0.35">
      <c r="A99">
        <v>2011</v>
      </c>
      <c r="B99">
        <v>2</v>
      </c>
      <c r="C99" t="str">
        <f t="shared" si="4"/>
        <v>Winter</v>
      </c>
      <c r="D99">
        <f>IF(G99 &gt;= Table4[[#Totals],[Pax]], 1, 0)</f>
        <v>0</v>
      </c>
      <c r="E99" s="1">
        <v>43657818</v>
      </c>
      <c r="F99" s="1">
        <v>6205658</v>
      </c>
      <c r="G99" s="1">
        <v>49863476</v>
      </c>
      <c r="H99" s="1">
        <f t="shared" si="7"/>
        <v>53460393</v>
      </c>
      <c r="I99" s="1">
        <v>625530</v>
      </c>
      <c r="J99" s="1">
        <v>61615</v>
      </c>
      <c r="K99" s="1">
        <v>687145</v>
      </c>
      <c r="L99" s="1">
        <v>38285134</v>
      </c>
      <c r="M99" s="1">
        <v>15742124</v>
      </c>
      <c r="N99" s="1">
        <v>54027258</v>
      </c>
      <c r="O99" s="1">
        <v>49106329</v>
      </c>
      <c r="P99" s="1">
        <v>22192337</v>
      </c>
      <c r="Q99" s="1">
        <v>71298667</v>
      </c>
      <c r="R99">
        <v>77.959999999999994</v>
      </c>
      <c r="S99">
        <v>70.930000000000007</v>
      </c>
      <c r="T99">
        <v>75.78</v>
      </c>
      <c r="U99" s="2">
        <f t="shared" si="5"/>
        <v>40575</v>
      </c>
      <c r="V99" t="str">
        <f t="shared" si="6"/>
        <v>Winter</v>
      </c>
    </row>
    <row r="100" spans="1:22" x14ac:dyDescent="0.35">
      <c r="A100">
        <v>2011</v>
      </c>
      <c r="B100">
        <v>3</v>
      </c>
      <c r="C100" t="str">
        <f t="shared" si="4"/>
        <v>Spring</v>
      </c>
      <c r="D100">
        <f>IF(G100 &gt;= Table4[[#Totals],[Pax]], 1, 0)</f>
        <v>1</v>
      </c>
      <c r="E100" s="1">
        <v>55649428</v>
      </c>
      <c r="F100" s="1">
        <v>7733473</v>
      </c>
      <c r="G100" s="1">
        <v>63382901</v>
      </c>
      <c r="H100" s="1">
        <f t="shared" si="7"/>
        <v>49863476</v>
      </c>
      <c r="I100" s="1">
        <v>754669</v>
      </c>
      <c r="J100" s="1">
        <v>71925</v>
      </c>
      <c r="K100" s="1">
        <v>826594</v>
      </c>
      <c r="L100" s="1">
        <v>48992221</v>
      </c>
      <c r="M100" s="1">
        <v>19689006</v>
      </c>
      <c r="N100" s="1">
        <v>68681228</v>
      </c>
      <c r="O100" s="1">
        <v>59209942</v>
      </c>
      <c r="P100" s="1">
        <v>25743795</v>
      </c>
      <c r="Q100" s="1">
        <v>84953737</v>
      </c>
      <c r="R100">
        <v>82.74</v>
      </c>
      <c r="S100">
        <v>76.48</v>
      </c>
      <c r="T100">
        <v>80.849999999999994</v>
      </c>
      <c r="U100" s="2">
        <f t="shared" si="5"/>
        <v>40603</v>
      </c>
      <c r="V100" t="str">
        <f t="shared" si="6"/>
        <v>Spring</v>
      </c>
    </row>
    <row r="101" spans="1:22" x14ac:dyDescent="0.35">
      <c r="A101">
        <v>2011</v>
      </c>
      <c r="B101">
        <v>4</v>
      </c>
      <c r="C101" t="str">
        <f t="shared" si="4"/>
        <v>Spring</v>
      </c>
      <c r="D101">
        <f>IF(G101 &gt;= Table4[[#Totals],[Pax]], 1, 0)</f>
        <v>0</v>
      </c>
      <c r="E101" s="1">
        <v>52858479</v>
      </c>
      <c r="F101" s="1">
        <v>7495073</v>
      </c>
      <c r="G101" s="1">
        <v>60353552</v>
      </c>
      <c r="H101" s="1">
        <f t="shared" si="7"/>
        <v>63382901</v>
      </c>
      <c r="I101" s="1">
        <v>720073</v>
      </c>
      <c r="J101" s="1">
        <v>68663</v>
      </c>
      <c r="K101" s="1">
        <v>788736</v>
      </c>
      <c r="L101" s="1">
        <v>46567364</v>
      </c>
      <c r="M101" s="1">
        <v>19768711</v>
      </c>
      <c r="N101" s="1">
        <v>66336076</v>
      </c>
      <c r="O101" s="1">
        <v>56686501</v>
      </c>
      <c r="P101" s="1">
        <v>25411596</v>
      </c>
      <c r="Q101" s="1">
        <v>82098097</v>
      </c>
      <c r="R101">
        <v>82.15</v>
      </c>
      <c r="S101">
        <v>77.790000000000006</v>
      </c>
      <c r="T101">
        <v>80.8</v>
      </c>
      <c r="U101" s="2">
        <f t="shared" si="5"/>
        <v>40634</v>
      </c>
      <c r="V101" t="str">
        <f t="shared" si="6"/>
        <v>Spring</v>
      </c>
    </row>
    <row r="102" spans="1:22" x14ac:dyDescent="0.35">
      <c r="A102">
        <v>2011</v>
      </c>
      <c r="B102">
        <v>5</v>
      </c>
      <c r="C102" t="str">
        <f t="shared" si="4"/>
        <v>Spring</v>
      </c>
      <c r="D102">
        <f>IF(G102 &gt;= Table4[[#Totals],[Pax]], 1, 0)</f>
        <v>1</v>
      </c>
      <c r="E102" s="1">
        <v>55982234</v>
      </c>
      <c r="F102" s="1">
        <v>7671950</v>
      </c>
      <c r="G102" s="1">
        <v>63654184</v>
      </c>
      <c r="H102" s="1">
        <f t="shared" si="7"/>
        <v>60353552</v>
      </c>
      <c r="I102" s="1">
        <v>743778</v>
      </c>
      <c r="J102" s="1">
        <v>67680</v>
      </c>
      <c r="K102" s="1">
        <v>811458</v>
      </c>
      <c r="L102" s="1">
        <v>49026667</v>
      </c>
      <c r="M102" s="1">
        <v>21312827</v>
      </c>
      <c r="N102" s="1">
        <v>70339494</v>
      </c>
      <c r="O102" s="1">
        <v>57969795</v>
      </c>
      <c r="P102" s="1">
        <v>26131180</v>
      </c>
      <c r="Q102" s="1">
        <v>84100975</v>
      </c>
      <c r="R102">
        <v>84.57</v>
      </c>
      <c r="S102">
        <v>81.56</v>
      </c>
      <c r="T102">
        <v>83.64</v>
      </c>
      <c r="U102" s="2">
        <f t="shared" si="5"/>
        <v>40664</v>
      </c>
      <c r="V102" t="str">
        <f t="shared" si="6"/>
        <v>Spring</v>
      </c>
    </row>
    <row r="103" spans="1:22" x14ac:dyDescent="0.35">
      <c r="A103">
        <v>2011</v>
      </c>
      <c r="B103">
        <v>6</v>
      </c>
      <c r="C103" t="str">
        <f t="shared" si="4"/>
        <v>Summer</v>
      </c>
      <c r="D103">
        <f>IF(G103 &gt;= Table4[[#Totals],[Pax]], 1, 0)</f>
        <v>1</v>
      </c>
      <c r="E103" s="1">
        <v>57778699</v>
      </c>
      <c r="F103" s="1">
        <v>8256632</v>
      </c>
      <c r="G103" s="1">
        <v>66035331</v>
      </c>
      <c r="H103" s="1">
        <f t="shared" si="7"/>
        <v>63654184</v>
      </c>
      <c r="I103" s="1">
        <v>756675</v>
      </c>
      <c r="J103" s="1">
        <v>69903</v>
      </c>
      <c r="K103" s="1">
        <v>826578</v>
      </c>
      <c r="L103" s="1">
        <v>51552204</v>
      </c>
      <c r="M103" s="1">
        <v>23096822</v>
      </c>
      <c r="N103" s="1">
        <v>74649026</v>
      </c>
      <c r="O103" s="1">
        <v>59955599</v>
      </c>
      <c r="P103" s="1">
        <v>27224840</v>
      </c>
      <c r="Q103" s="1">
        <v>87180439</v>
      </c>
      <c r="R103">
        <v>85.98</v>
      </c>
      <c r="S103">
        <v>84.84</v>
      </c>
      <c r="T103">
        <v>85.63</v>
      </c>
      <c r="U103" s="2">
        <f t="shared" si="5"/>
        <v>40695</v>
      </c>
      <c r="V103" t="str">
        <f t="shared" si="6"/>
        <v>Summer</v>
      </c>
    </row>
    <row r="104" spans="1:22" x14ac:dyDescent="0.35">
      <c r="A104">
        <v>2011</v>
      </c>
      <c r="B104">
        <v>7</v>
      </c>
      <c r="C104" t="str">
        <f t="shared" si="4"/>
        <v>Summer</v>
      </c>
      <c r="D104">
        <f>IF(G104 &gt;= Table4[[#Totals],[Pax]], 1, 0)</f>
        <v>1</v>
      </c>
      <c r="E104" s="1">
        <v>60310295</v>
      </c>
      <c r="F104" s="1">
        <v>9384241</v>
      </c>
      <c r="G104" s="1">
        <v>69694536</v>
      </c>
      <c r="H104" s="1">
        <f t="shared" si="7"/>
        <v>66035331</v>
      </c>
      <c r="I104" s="1">
        <v>783811</v>
      </c>
      <c r="J104" s="1">
        <v>76305</v>
      </c>
      <c r="K104" s="1">
        <v>860116</v>
      </c>
      <c r="L104" s="1">
        <v>54459007</v>
      </c>
      <c r="M104" s="1">
        <v>25415397</v>
      </c>
      <c r="N104" s="1">
        <v>79874404</v>
      </c>
      <c r="O104" s="1">
        <v>62492240</v>
      </c>
      <c r="P104" s="1">
        <v>29384342</v>
      </c>
      <c r="Q104" s="1">
        <v>91876583</v>
      </c>
      <c r="R104">
        <v>87.15</v>
      </c>
      <c r="S104">
        <v>86.49</v>
      </c>
      <c r="T104">
        <v>86.94</v>
      </c>
      <c r="U104" s="2">
        <f t="shared" si="5"/>
        <v>40725</v>
      </c>
      <c r="V104" t="str">
        <f t="shared" si="6"/>
        <v>Summer</v>
      </c>
    </row>
    <row r="105" spans="1:22" x14ac:dyDescent="0.35">
      <c r="A105">
        <v>2011</v>
      </c>
      <c r="B105">
        <v>8</v>
      </c>
      <c r="C105" t="str">
        <f t="shared" si="4"/>
        <v>Summer</v>
      </c>
      <c r="D105">
        <f>IF(G105 &gt;= Table4[[#Totals],[Pax]], 1, 0)</f>
        <v>1</v>
      </c>
      <c r="E105" s="1">
        <v>57403835</v>
      </c>
      <c r="F105" s="1">
        <v>8677482</v>
      </c>
      <c r="G105" s="1">
        <v>66081317</v>
      </c>
      <c r="H105" s="1">
        <f t="shared" si="7"/>
        <v>69694536</v>
      </c>
      <c r="I105" s="1">
        <v>767948</v>
      </c>
      <c r="J105" s="1">
        <v>71574</v>
      </c>
      <c r="K105" s="1">
        <v>839522</v>
      </c>
      <c r="L105" s="1">
        <v>51570688</v>
      </c>
      <c r="M105" s="1">
        <v>24132052</v>
      </c>
      <c r="N105" s="1">
        <v>75702739</v>
      </c>
      <c r="O105" s="1">
        <v>60248852</v>
      </c>
      <c r="P105" s="1">
        <v>28178615</v>
      </c>
      <c r="Q105" s="1">
        <v>88427467</v>
      </c>
      <c r="R105">
        <v>85.6</v>
      </c>
      <c r="S105">
        <v>85.64</v>
      </c>
      <c r="T105">
        <v>85.61</v>
      </c>
      <c r="U105" s="2">
        <f t="shared" si="5"/>
        <v>40756</v>
      </c>
      <c r="V105" t="str">
        <f t="shared" si="6"/>
        <v>Summer</v>
      </c>
    </row>
    <row r="106" spans="1:22" x14ac:dyDescent="0.35">
      <c r="A106">
        <v>2011</v>
      </c>
      <c r="B106">
        <v>9</v>
      </c>
      <c r="C106" t="str">
        <f t="shared" si="4"/>
        <v>Fall</v>
      </c>
      <c r="D106">
        <f>IF(G106 &gt;= Table4[[#Totals],[Pax]], 1, 0)</f>
        <v>0</v>
      </c>
      <c r="E106" s="1">
        <v>50982170</v>
      </c>
      <c r="F106" s="1">
        <v>6893283</v>
      </c>
      <c r="G106" s="1">
        <v>57875453</v>
      </c>
      <c r="H106" s="1">
        <f t="shared" si="7"/>
        <v>66081317</v>
      </c>
      <c r="I106" s="1">
        <v>706395</v>
      </c>
      <c r="J106" s="1">
        <v>61645</v>
      </c>
      <c r="K106" s="1">
        <v>768040</v>
      </c>
      <c r="L106" s="1">
        <v>44580290</v>
      </c>
      <c r="M106" s="1">
        <v>20488322</v>
      </c>
      <c r="N106" s="1">
        <v>65068612</v>
      </c>
      <c r="O106" s="1">
        <v>54480405</v>
      </c>
      <c r="P106" s="1">
        <v>24945913</v>
      </c>
      <c r="Q106" s="1">
        <v>79426318</v>
      </c>
      <c r="R106">
        <v>81.83</v>
      </c>
      <c r="S106">
        <v>82.13</v>
      </c>
      <c r="T106">
        <v>81.92</v>
      </c>
      <c r="U106" s="2">
        <f t="shared" si="5"/>
        <v>40787</v>
      </c>
      <c r="V106" t="str">
        <f t="shared" si="6"/>
        <v>Fall</v>
      </c>
    </row>
    <row r="107" spans="1:22" x14ac:dyDescent="0.35">
      <c r="A107">
        <v>2011</v>
      </c>
      <c r="B107">
        <v>10</v>
      </c>
      <c r="C107" t="str">
        <f t="shared" si="4"/>
        <v>Fall</v>
      </c>
      <c r="D107">
        <f>IF(G107 &gt;= Table4[[#Totals],[Pax]], 1, 0)</f>
        <v>0</v>
      </c>
      <c r="E107" s="1">
        <v>54124363</v>
      </c>
      <c r="F107" s="1">
        <v>6884408</v>
      </c>
      <c r="G107" s="1">
        <v>61008771</v>
      </c>
      <c r="H107" s="1">
        <f t="shared" si="7"/>
        <v>57875453</v>
      </c>
      <c r="I107" s="1">
        <v>723222</v>
      </c>
      <c r="J107" s="1">
        <v>62821</v>
      </c>
      <c r="K107" s="1">
        <v>786043</v>
      </c>
      <c r="L107" s="1">
        <v>46972407</v>
      </c>
      <c r="M107" s="1">
        <v>19893658</v>
      </c>
      <c r="N107" s="1">
        <v>66866065</v>
      </c>
      <c r="O107" s="1">
        <v>56160266</v>
      </c>
      <c r="P107" s="1">
        <v>24800208</v>
      </c>
      <c r="Q107" s="1">
        <v>80960473</v>
      </c>
      <c r="R107">
        <v>83.64</v>
      </c>
      <c r="S107">
        <v>80.22</v>
      </c>
      <c r="T107">
        <v>82.59</v>
      </c>
      <c r="U107" s="2">
        <f t="shared" si="5"/>
        <v>40817</v>
      </c>
      <c r="V107" t="str">
        <f t="shared" si="6"/>
        <v>Fall</v>
      </c>
    </row>
    <row r="108" spans="1:22" x14ac:dyDescent="0.35">
      <c r="A108">
        <v>2011</v>
      </c>
      <c r="B108">
        <v>11</v>
      </c>
      <c r="C108" t="str">
        <f t="shared" si="4"/>
        <v>Fall</v>
      </c>
      <c r="D108">
        <f>IF(G108 &gt;= Table4[[#Totals],[Pax]], 1, 0)</f>
        <v>0</v>
      </c>
      <c r="E108" s="1">
        <v>51660083</v>
      </c>
      <c r="F108" s="1">
        <v>6431880</v>
      </c>
      <c r="G108" s="1">
        <v>58091963</v>
      </c>
      <c r="H108" s="1">
        <f t="shared" si="7"/>
        <v>61008771</v>
      </c>
      <c r="I108" s="1">
        <v>682660</v>
      </c>
      <c r="J108" s="1">
        <v>60778</v>
      </c>
      <c r="K108" s="1">
        <v>743438</v>
      </c>
      <c r="L108" s="1">
        <v>44780150</v>
      </c>
      <c r="M108" s="1">
        <v>17325552</v>
      </c>
      <c r="N108" s="1">
        <v>62105702</v>
      </c>
      <c r="O108" s="1">
        <v>53639815</v>
      </c>
      <c r="P108" s="1">
        <v>22099606</v>
      </c>
      <c r="Q108" s="1">
        <v>75739421</v>
      </c>
      <c r="R108">
        <v>83.48</v>
      </c>
      <c r="S108">
        <v>78.400000000000006</v>
      </c>
      <c r="T108">
        <v>82</v>
      </c>
      <c r="U108" s="2">
        <f t="shared" si="5"/>
        <v>40848</v>
      </c>
      <c r="V108" t="str">
        <f t="shared" si="6"/>
        <v>Fall</v>
      </c>
    </row>
    <row r="109" spans="1:22" x14ac:dyDescent="0.35">
      <c r="A109">
        <v>2011</v>
      </c>
      <c r="B109">
        <v>12</v>
      </c>
      <c r="C109" t="str">
        <f t="shared" si="4"/>
        <v>Fall</v>
      </c>
      <c r="D109">
        <f>IF(G109 &gt;= Table4[[#Totals],[Pax]], 1, 0)</f>
        <v>0</v>
      </c>
      <c r="E109" s="1">
        <v>51534907</v>
      </c>
      <c r="F109" s="1">
        <v>7331513</v>
      </c>
      <c r="G109" s="1">
        <v>58866420</v>
      </c>
      <c r="H109" s="1">
        <f t="shared" si="7"/>
        <v>58091963</v>
      </c>
      <c r="I109" s="1">
        <v>701348</v>
      </c>
      <c r="J109" s="1">
        <v>67821</v>
      </c>
      <c r="K109" s="1">
        <v>769169</v>
      </c>
      <c r="L109" s="1">
        <v>45673434</v>
      </c>
      <c r="M109" s="1">
        <v>19339617</v>
      </c>
      <c r="N109" s="1">
        <v>65013051</v>
      </c>
      <c r="O109" s="1">
        <v>56330875</v>
      </c>
      <c r="P109" s="1">
        <v>24186935</v>
      </c>
      <c r="Q109" s="1">
        <v>80517810</v>
      </c>
      <c r="R109">
        <v>81.08</v>
      </c>
      <c r="S109">
        <v>79.959999999999994</v>
      </c>
      <c r="T109">
        <v>80.739999999999995</v>
      </c>
      <c r="U109" s="2">
        <f t="shared" si="5"/>
        <v>40878</v>
      </c>
      <c r="V109" t="str">
        <f t="shared" si="6"/>
        <v>Winter</v>
      </c>
    </row>
    <row r="110" spans="1:22" x14ac:dyDescent="0.35">
      <c r="A110">
        <v>2012</v>
      </c>
      <c r="B110">
        <v>1</v>
      </c>
      <c r="C110" t="str">
        <f t="shared" si="4"/>
        <v>Winter</v>
      </c>
      <c r="D110">
        <f>IF(G110 &gt;= Table4[[#Totals],[Pax]], 1, 0)</f>
        <v>0</v>
      </c>
      <c r="E110" s="1">
        <v>47080430</v>
      </c>
      <c r="F110" s="1">
        <v>7155733</v>
      </c>
      <c r="G110" s="1">
        <v>54236163</v>
      </c>
      <c r="H110" s="1">
        <f t="shared" si="7"/>
        <v>58866420</v>
      </c>
      <c r="I110" s="1">
        <v>677704</v>
      </c>
      <c r="J110" s="1">
        <v>68013</v>
      </c>
      <c r="K110" s="1">
        <v>745717</v>
      </c>
      <c r="L110" s="1">
        <v>41673200</v>
      </c>
      <c r="M110" s="1">
        <v>18915701</v>
      </c>
      <c r="N110" s="1">
        <v>60588901</v>
      </c>
      <c r="O110" s="1">
        <v>53426991</v>
      </c>
      <c r="P110" s="1">
        <v>24645715</v>
      </c>
      <c r="Q110" s="1">
        <v>78072706</v>
      </c>
      <c r="R110">
        <v>78</v>
      </c>
      <c r="S110">
        <v>76.75</v>
      </c>
      <c r="T110">
        <v>77.61</v>
      </c>
      <c r="U110" s="2">
        <f t="shared" si="5"/>
        <v>40909</v>
      </c>
      <c r="V110" t="str">
        <f t="shared" si="6"/>
        <v>Winter</v>
      </c>
    </row>
    <row r="111" spans="1:22" x14ac:dyDescent="0.35">
      <c r="A111">
        <v>2012</v>
      </c>
      <c r="B111">
        <v>2</v>
      </c>
      <c r="C111" t="str">
        <f t="shared" si="4"/>
        <v>Winter</v>
      </c>
      <c r="D111">
        <f>IF(G111 &gt;= Table4[[#Totals],[Pax]], 1, 0)</f>
        <v>0</v>
      </c>
      <c r="E111" s="1">
        <v>46405102</v>
      </c>
      <c r="F111" s="1">
        <v>6518477</v>
      </c>
      <c r="G111" s="1">
        <v>52923579</v>
      </c>
      <c r="H111" s="1">
        <f t="shared" si="7"/>
        <v>54236163</v>
      </c>
      <c r="I111" s="1">
        <v>647027</v>
      </c>
      <c r="J111" s="1">
        <v>64878</v>
      </c>
      <c r="K111" s="1">
        <v>711905</v>
      </c>
      <c r="L111" s="1">
        <v>40440608</v>
      </c>
      <c r="M111" s="1">
        <v>16583021</v>
      </c>
      <c r="N111" s="1">
        <v>57023629</v>
      </c>
      <c r="O111" s="1">
        <v>51244942</v>
      </c>
      <c r="P111" s="1">
        <v>23176387</v>
      </c>
      <c r="Q111" s="1">
        <v>74421328</v>
      </c>
      <c r="R111">
        <v>78.92</v>
      </c>
      <c r="S111">
        <v>71.55</v>
      </c>
      <c r="T111">
        <v>76.62</v>
      </c>
      <c r="U111" s="2">
        <f t="shared" si="5"/>
        <v>40940</v>
      </c>
      <c r="V111" t="str">
        <f t="shared" si="6"/>
        <v>Winter</v>
      </c>
    </row>
    <row r="112" spans="1:22" x14ac:dyDescent="0.35">
      <c r="A112">
        <v>2012</v>
      </c>
      <c r="B112">
        <v>3</v>
      </c>
      <c r="C112" t="str">
        <f t="shared" si="4"/>
        <v>Spring</v>
      </c>
      <c r="D112">
        <f>IF(G112 &gt;= Table4[[#Totals],[Pax]], 1, 0)</f>
        <v>1</v>
      </c>
      <c r="E112" s="1">
        <v>56200104</v>
      </c>
      <c r="F112" s="1">
        <v>8059960</v>
      </c>
      <c r="G112" s="1">
        <v>64260064</v>
      </c>
      <c r="H112" s="1">
        <f t="shared" si="7"/>
        <v>52923579</v>
      </c>
      <c r="I112" s="1">
        <v>728636</v>
      </c>
      <c r="J112" s="1">
        <v>73363</v>
      </c>
      <c r="K112" s="1">
        <v>801999</v>
      </c>
      <c r="L112" s="1">
        <v>49693743</v>
      </c>
      <c r="M112" s="1">
        <v>20638910</v>
      </c>
      <c r="N112" s="1">
        <v>70332653</v>
      </c>
      <c r="O112" s="1">
        <v>58846026</v>
      </c>
      <c r="P112" s="1">
        <v>25826784</v>
      </c>
      <c r="Q112" s="1">
        <v>84672810</v>
      </c>
      <c r="R112">
        <v>84.45</v>
      </c>
      <c r="S112">
        <v>79.91</v>
      </c>
      <c r="T112">
        <v>83.06</v>
      </c>
      <c r="U112" s="2">
        <f t="shared" si="5"/>
        <v>40969</v>
      </c>
      <c r="V112" t="str">
        <f t="shared" si="6"/>
        <v>Spring</v>
      </c>
    </row>
    <row r="113" spans="1:22" x14ac:dyDescent="0.35">
      <c r="A113">
        <v>2012</v>
      </c>
      <c r="B113">
        <v>4</v>
      </c>
      <c r="C113" t="str">
        <f t="shared" si="4"/>
        <v>Spring</v>
      </c>
      <c r="D113">
        <f>IF(G113 &gt;= Table4[[#Totals],[Pax]], 1, 0)</f>
        <v>0</v>
      </c>
      <c r="E113" s="1">
        <v>53691455</v>
      </c>
      <c r="F113" s="1">
        <v>7608446</v>
      </c>
      <c r="G113" s="1">
        <v>61299901</v>
      </c>
      <c r="H113" s="1">
        <f t="shared" si="7"/>
        <v>64260064</v>
      </c>
      <c r="I113" s="1">
        <v>706994</v>
      </c>
      <c r="J113" s="1">
        <v>68925</v>
      </c>
      <c r="K113" s="1">
        <v>775919</v>
      </c>
      <c r="L113" s="1">
        <v>47240808</v>
      </c>
      <c r="M113" s="1">
        <v>20120006</v>
      </c>
      <c r="N113" s="1">
        <v>67360814</v>
      </c>
      <c r="O113" s="1">
        <v>56495318</v>
      </c>
      <c r="P113" s="1">
        <v>25056043</v>
      </c>
      <c r="Q113" s="1">
        <v>81551361</v>
      </c>
      <c r="R113">
        <v>83.62</v>
      </c>
      <c r="S113">
        <v>80.3</v>
      </c>
      <c r="T113">
        <v>82.6</v>
      </c>
      <c r="U113" s="2">
        <f t="shared" si="5"/>
        <v>41000</v>
      </c>
      <c r="V113" t="str">
        <f t="shared" si="6"/>
        <v>Spring</v>
      </c>
    </row>
    <row r="114" spans="1:22" x14ac:dyDescent="0.35">
      <c r="A114">
        <v>2012</v>
      </c>
      <c r="B114">
        <v>5</v>
      </c>
      <c r="C114" t="str">
        <f t="shared" si="4"/>
        <v>Spring</v>
      </c>
      <c r="D114">
        <f>IF(G114 &gt;= Table4[[#Totals],[Pax]], 1, 0)</f>
        <v>1</v>
      </c>
      <c r="E114" s="1">
        <v>55749349</v>
      </c>
      <c r="F114" s="1">
        <v>7728905</v>
      </c>
      <c r="G114" s="1">
        <v>63478254</v>
      </c>
      <c r="H114" s="1">
        <f t="shared" si="7"/>
        <v>61299901</v>
      </c>
      <c r="I114" s="1">
        <v>725712</v>
      </c>
      <c r="J114" s="1">
        <v>69813</v>
      </c>
      <c r="K114" s="1">
        <v>795525</v>
      </c>
      <c r="L114" s="1">
        <v>49075103</v>
      </c>
      <c r="M114" s="1">
        <v>21625365</v>
      </c>
      <c r="N114" s="1">
        <v>70700468</v>
      </c>
      <c r="O114" s="1">
        <v>58102674</v>
      </c>
      <c r="P114" s="1">
        <v>26487067</v>
      </c>
      <c r="Q114" s="1">
        <v>84589741</v>
      </c>
      <c r="R114">
        <v>84.46</v>
      </c>
      <c r="S114">
        <v>81.64</v>
      </c>
      <c r="T114">
        <v>83.58</v>
      </c>
      <c r="U114" s="2">
        <f t="shared" si="5"/>
        <v>41030</v>
      </c>
      <c r="V114" t="str">
        <f t="shared" si="6"/>
        <v>Spring</v>
      </c>
    </row>
    <row r="115" spans="1:22" x14ac:dyDescent="0.35">
      <c r="A115">
        <v>2012</v>
      </c>
      <c r="B115">
        <v>6</v>
      </c>
      <c r="C115" t="str">
        <f t="shared" si="4"/>
        <v>Summer</v>
      </c>
      <c r="D115">
        <f>IF(G115 &gt;= Table4[[#Totals],[Pax]], 1, 0)</f>
        <v>1</v>
      </c>
      <c r="E115" s="1">
        <v>57903293</v>
      </c>
      <c r="F115" s="1">
        <v>8509172</v>
      </c>
      <c r="G115" s="1">
        <v>66412465</v>
      </c>
      <c r="H115" s="1">
        <f t="shared" si="7"/>
        <v>63478254</v>
      </c>
      <c r="I115" s="1">
        <v>735084</v>
      </c>
      <c r="J115" s="1">
        <v>72160</v>
      </c>
      <c r="K115" s="1">
        <v>807244</v>
      </c>
      <c r="L115" s="1">
        <v>51958863</v>
      </c>
      <c r="M115" s="1">
        <v>23588863</v>
      </c>
      <c r="N115" s="1">
        <v>75547726</v>
      </c>
      <c r="O115" s="1">
        <v>59980845</v>
      </c>
      <c r="P115" s="1">
        <v>27267695</v>
      </c>
      <c r="Q115" s="1">
        <v>87248539</v>
      </c>
      <c r="R115">
        <v>86.63</v>
      </c>
      <c r="S115">
        <v>86.51</v>
      </c>
      <c r="T115">
        <v>86.59</v>
      </c>
      <c r="U115" s="2">
        <f t="shared" si="5"/>
        <v>41061</v>
      </c>
      <c r="V115" t="str">
        <f t="shared" si="6"/>
        <v>Summer</v>
      </c>
    </row>
    <row r="116" spans="1:22" x14ac:dyDescent="0.35">
      <c r="A116">
        <v>2012</v>
      </c>
      <c r="B116">
        <v>7</v>
      </c>
      <c r="C116" t="str">
        <f t="shared" si="4"/>
        <v>Summer</v>
      </c>
      <c r="D116">
        <f>IF(G116 &gt;= Table4[[#Totals],[Pax]], 1, 0)</f>
        <v>1</v>
      </c>
      <c r="E116" s="1">
        <v>59688267</v>
      </c>
      <c r="F116" s="1">
        <v>9298946</v>
      </c>
      <c r="G116" s="1">
        <v>68987213</v>
      </c>
      <c r="H116" s="1">
        <f t="shared" si="7"/>
        <v>66412465</v>
      </c>
      <c r="I116" s="1">
        <v>757484</v>
      </c>
      <c r="J116" s="1">
        <v>76163</v>
      </c>
      <c r="K116" s="1">
        <v>833647</v>
      </c>
      <c r="L116" s="1">
        <v>54239648</v>
      </c>
      <c r="M116" s="1">
        <v>24933954</v>
      </c>
      <c r="N116" s="1">
        <v>79173602</v>
      </c>
      <c r="O116" s="1">
        <v>62452527</v>
      </c>
      <c r="P116" s="1">
        <v>28885438</v>
      </c>
      <c r="Q116" s="1">
        <v>91337965</v>
      </c>
      <c r="R116">
        <v>86.85</v>
      </c>
      <c r="S116">
        <v>86.32</v>
      </c>
      <c r="T116">
        <v>86.68</v>
      </c>
      <c r="U116" s="2">
        <f t="shared" si="5"/>
        <v>41091</v>
      </c>
      <c r="V116" t="str">
        <f t="shared" si="6"/>
        <v>Summer</v>
      </c>
    </row>
    <row r="117" spans="1:22" x14ac:dyDescent="0.35">
      <c r="A117">
        <v>2012</v>
      </c>
      <c r="B117">
        <v>8</v>
      </c>
      <c r="C117" t="str">
        <f t="shared" si="4"/>
        <v>Summer</v>
      </c>
      <c r="D117">
        <f>IF(G117 &gt;= Table4[[#Totals],[Pax]], 1, 0)</f>
        <v>1</v>
      </c>
      <c r="E117" s="1">
        <v>58646304</v>
      </c>
      <c r="F117" s="1">
        <v>8892354</v>
      </c>
      <c r="G117" s="1">
        <v>67538658</v>
      </c>
      <c r="H117" s="1">
        <f t="shared" si="7"/>
        <v>68987213</v>
      </c>
      <c r="I117" s="1">
        <v>753441</v>
      </c>
      <c r="J117" s="1">
        <v>74196</v>
      </c>
      <c r="K117" s="1">
        <v>827637</v>
      </c>
      <c r="L117" s="1">
        <v>52870434</v>
      </c>
      <c r="M117" s="1">
        <v>24375248</v>
      </c>
      <c r="N117" s="1">
        <v>77245683</v>
      </c>
      <c r="O117" s="1">
        <v>61026426</v>
      </c>
      <c r="P117" s="1">
        <v>28226626</v>
      </c>
      <c r="Q117" s="1">
        <v>89253052</v>
      </c>
      <c r="R117">
        <v>86.64</v>
      </c>
      <c r="S117">
        <v>86.36</v>
      </c>
      <c r="T117">
        <v>86.55</v>
      </c>
      <c r="U117" s="2">
        <f t="shared" si="5"/>
        <v>41122</v>
      </c>
      <c r="V117" t="str">
        <f t="shared" si="6"/>
        <v>Summer</v>
      </c>
    </row>
    <row r="118" spans="1:22" x14ac:dyDescent="0.35">
      <c r="A118">
        <v>2012</v>
      </c>
      <c r="B118">
        <v>9</v>
      </c>
      <c r="C118" t="str">
        <f t="shared" si="4"/>
        <v>Fall</v>
      </c>
      <c r="D118">
        <f>IF(G118 &gt;= Table4[[#Totals],[Pax]], 1, 0)</f>
        <v>0</v>
      </c>
      <c r="E118" s="1">
        <v>50134504</v>
      </c>
      <c r="F118" s="1">
        <v>7098414</v>
      </c>
      <c r="G118" s="1">
        <v>57232918</v>
      </c>
      <c r="H118" s="1">
        <f t="shared" si="7"/>
        <v>67538658</v>
      </c>
      <c r="I118" s="1">
        <v>677990</v>
      </c>
      <c r="J118" s="1">
        <v>62528</v>
      </c>
      <c r="K118" s="1">
        <v>740518</v>
      </c>
      <c r="L118" s="1">
        <v>43861215</v>
      </c>
      <c r="M118" s="1">
        <v>20931047</v>
      </c>
      <c r="N118" s="1">
        <v>64792261</v>
      </c>
      <c r="O118" s="1">
        <v>54386931</v>
      </c>
      <c r="P118" s="1">
        <v>24996737</v>
      </c>
      <c r="Q118" s="1">
        <v>79383668</v>
      </c>
      <c r="R118">
        <v>80.650000000000006</v>
      </c>
      <c r="S118">
        <v>83.74</v>
      </c>
      <c r="T118">
        <v>81.62</v>
      </c>
      <c r="U118" s="2">
        <f t="shared" si="5"/>
        <v>41153</v>
      </c>
      <c r="V118" t="str">
        <f t="shared" si="6"/>
        <v>Fall</v>
      </c>
    </row>
    <row r="119" spans="1:22" x14ac:dyDescent="0.35">
      <c r="A119">
        <v>2012</v>
      </c>
      <c r="B119">
        <v>10</v>
      </c>
      <c r="C119" t="str">
        <f t="shared" si="4"/>
        <v>Fall</v>
      </c>
      <c r="D119">
        <f>IF(G119 &gt;= Table4[[#Totals],[Pax]], 1, 0)</f>
        <v>0</v>
      </c>
      <c r="E119" s="1">
        <v>53779646</v>
      </c>
      <c r="F119" s="1">
        <v>6952685</v>
      </c>
      <c r="G119" s="1">
        <v>60732331</v>
      </c>
      <c r="H119" s="1">
        <f t="shared" si="7"/>
        <v>57232918</v>
      </c>
      <c r="I119" s="1">
        <v>694712</v>
      </c>
      <c r="J119" s="1">
        <v>62790</v>
      </c>
      <c r="K119" s="1">
        <v>757502</v>
      </c>
      <c r="L119" s="1">
        <v>46661129</v>
      </c>
      <c r="M119" s="1">
        <v>19851567</v>
      </c>
      <c r="N119" s="1">
        <v>66512697</v>
      </c>
      <c r="O119" s="1">
        <v>55378572</v>
      </c>
      <c r="P119" s="1">
        <v>24322370</v>
      </c>
      <c r="Q119" s="1">
        <v>79700942</v>
      </c>
      <c r="R119">
        <v>84.26</v>
      </c>
      <c r="S119">
        <v>81.62</v>
      </c>
      <c r="T119">
        <v>83.45</v>
      </c>
      <c r="U119" s="2">
        <f t="shared" si="5"/>
        <v>41183</v>
      </c>
      <c r="V119" t="str">
        <f t="shared" si="6"/>
        <v>Fall</v>
      </c>
    </row>
    <row r="120" spans="1:22" x14ac:dyDescent="0.35">
      <c r="A120">
        <v>2012</v>
      </c>
      <c r="B120">
        <v>11</v>
      </c>
      <c r="C120" t="str">
        <f t="shared" si="4"/>
        <v>Fall</v>
      </c>
      <c r="D120">
        <f>IF(G120 &gt;= Table4[[#Totals],[Pax]], 1, 0)</f>
        <v>0</v>
      </c>
      <c r="E120" s="1">
        <v>51844482</v>
      </c>
      <c r="F120" s="1">
        <v>6710058</v>
      </c>
      <c r="G120" s="1">
        <v>58554540</v>
      </c>
      <c r="H120" s="1">
        <f t="shared" si="7"/>
        <v>60732331</v>
      </c>
      <c r="I120" s="1">
        <v>669260</v>
      </c>
      <c r="J120" s="1">
        <v>61817</v>
      </c>
      <c r="K120" s="1">
        <v>731077</v>
      </c>
      <c r="L120" s="1">
        <v>45148868</v>
      </c>
      <c r="M120" s="1">
        <v>17774579</v>
      </c>
      <c r="N120" s="1">
        <v>62923447</v>
      </c>
      <c r="O120" s="1">
        <v>54524126</v>
      </c>
      <c r="P120" s="1">
        <v>22326176</v>
      </c>
      <c r="Q120" s="1">
        <v>76850301</v>
      </c>
      <c r="R120">
        <v>82.81</v>
      </c>
      <c r="S120">
        <v>79.61</v>
      </c>
      <c r="T120">
        <v>81.88</v>
      </c>
      <c r="U120" s="2">
        <f t="shared" si="5"/>
        <v>41214</v>
      </c>
      <c r="V120" t="str">
        <f t="shared" si="6"/>
        <v>Fall</v>
      </c>
    </row>
    <row r="121" spans="1:22" x14ac:dyDescent="0.35">
      <c r="A121">
        <v>2012</v>
      </c>
      <c r="B121">
        <v>12</v>
      </c>
      <c r="C121" t="str">
        <f t="shared" si="4"/>
        <v>Fall</v>
      </c>
      <c r="D121">
        <f>IF(G121 &gt;= Table4[[#Totals],[Pax]], 1, 0)</f>
        <v>0</v>
      </c>
      <c r="E121" s="1">
        <v>51165451</v>
      </c>
      <c r="F121" s="1">
        <v>7500932</v>
      </c>
      <c r="G121" s="1">
        <v>58666383</v>
      </c>
      <c r="H121" s="1">
        <f t="shared" si="7"/>
        <v>58554540</v>
      </c>
      <c r="I121" s="1">
        <v>670793</v>
      </c>
      <c r="J121" s="1">
        <v>67858</v>
      </c>
      <c r="K121" s="1">
        <v>738651</v>
      </c>
      <c r="L121" s="1">
        <v>45818778</v>
      </c>
      <c r="M121" s="1">
        <v>19607025</v>
      </c>
      <c r="N121" s="1">
        <v>65425803</v>
      </c>
      <c r="O121" s="1">
        <v>56181473</v>
      </c>
      <c r="P121" s="1">
        <v>24156714</v>
      </c>
      <c r="Q121" s="1">
        <v>80338186</v>
      </c>
      <c r="R121">
        <v>81.55</v>
      </c>
      <c r="S121">
        <v>81.17</v>
      </c>
      <c r="T121">
        <v>81.44</v>
      </c>
      <c r="U121" s="2">
        <f t="shared" si="5"/>
        <v>41244</v>
      </c>
      <c r="V121" t="str">
        <f t="shared" si="6"/>
        <v>Winter</v>
      </c>
    </row>
    <row r="122" spans="1:22" x14ac:dyDescent="0.35">
      <c r="A122">
        <v>2013</v>
      </c>
      <c r="B122">
        <v>1</v>
      </c>
      <c r="C122" t="str">
        <f t="shared" si="4"/>
        <v>Winter</v>
      </c>
      <c r="D122">
        <f>IF(G122 &gt;= Table4[[#Totals],[Pax]], 1, 0)</f>
        <v>0</v>
      </c>
      <c r="E122" s="1">
        <v>47816859</v>
      </c>
      <c r="F122" s="1">
        <v>7331420</v>
      </c>
      <c r="G122" s="1">
        <v>55148279</v>
      </c>
      <c r="H122" s="1">
        <f t="shared" si="7"/>
        <v>58666383</v>
      </c>
      <c r="I122" s="1">
        <v>662014</v>
      </c>
      <c r="J122" s="1">
        <v>68653</v>
      </c>
      <c r="K122" s="1">
        <v>730667</v>
      </c>
      <c r="L122" s="1">
        <v>42716886</v>
      </c>
      <c r="M122" s="1">
        <v>19226952</v>
      </c>
      <c r="N122" s="1">
        <v>61943838</v>
      </c>
      <c r="O122" s="1">
        <v>54130019</v>
      </c>
      <c r="P122" s="1">
        <v>24414793</v>
      </c>
      <c r="Q122" s="1">
        <v>78544812</v>
      </c>
      <c r="R122">
        <v>78.92</v>
      </c>
      <c r="S122">
        <v>78.75</v>
      </c>
      <c r="T122">
        <v>78.86</v>
      </c>
      <c r="U122" s="2">
        <f t="shared" si="5"/>
        <v>41275</v>
      </c>
      <c r="V122" t="str">
        <f t="shared" si="6"/>
        <v>Winter</v>
      </c>
    </row>
    <row r="123" spans="1:22" x14ac:dyDescent="0.35">
      <c r="A123">
        <v>2013</v>
      </c>
      <c r="B123">
        <v>2</v>
      </c>
      <c r="C123" t="str">
        <f t="shared" si="4"/>
        <v>Winter</v>
      </c>
      <c r="D123">
        <f>IF(G123 &gt;= Table4[[#Totals],[Pax]], 1, 0)</f>
        <v>0</v>
      </c>
      <c r="E123" s="1">
        <v>45740158</v>
      </c>
      <c r="F123" s="1">
        <v>6564112</v>
      </c>
      <c r="G123" s="1">
        <v>52304270</v>
      </c>
      <c r="H123" s="1">
        <f t="shared" si="7"/>
        <v>55148279</v>
      </c>
      <c r="I123" s="1">
        <v>607564</v>
      </c>
      <c r="J123" s="1">
        <v>62950</v>
      </c>
      <c r="K123" s="1">
        <v>670514</v>
      </c>
      <c r="L123" s="1">
        <v>40360477</v>
      </c>
      <c r="M123" s="1">
        <v>16726427</v>
      </c>
      <c r="N123" s="1">
        <v>57086904</v>
      </c>
      <c r="O123" s="1">
        <v>49951073</v>
      </c>
      <c r="P123" s="1">
        <v>22147136</v>
      </c>
      <c r="Q123" s="1">
        <v>72098209</v>
      </c>
      <c r="R123">
        <v>80.8</v>
      </c>
      <c r="S123">
        <v>75.52</v>
      </c>
      <c r="T123">
        <v>79.180000000000007</v>
      </c>
      <c r="U123" s="2">
        <f t="shared" si="5"/>
        <v>41306</v>
      </c>
      <c r="V123" t="str">
        <f t="shared" si="6"/>
        <v>Winter</v>
      </c>
    </row>
    <row r="124" spans="1:22" x14ac:dyDescent="0.35">
      <c r="A124">
        <v>2013</v>
      </c>
      <c r="B124">
        <v>3</v>
      </c>
      <c r="C124" t="str">
        <f t="shared" si="4"/>
        <v>Spring</v>
      </c>
      <c r="D124">
        <f>IF(G124 &gt;= Table4[[#Totals],[Pax]], 1, 0)</f>
        <v>1</v>
      </c>
      <c r="E124" s="1">
        <v>56564538</v>
      </c>
      <c r="F124" s="1">
        <v>8327386</v>
      </c>
      <c r="G124" s="1">
        <v>64891924</v>
      </c>
      <c r="H124" s="1">
        <f t="shared" si="7"/>
        <v>52304270</v>
      </c>
      <c r="I124" s="1">
        <v>710137</v>
      </c>
      <c r="J124" s="1">
        <v>73801</v>
      </c>
      <c r="K124" s="1">
        <v>783938</v>
      </c>
      <c r="L124" s="1">
        <v>50591912</v>
      </c>
      <c r="M124" s="1">
        <v>21085987</v>
      </c>
      <c r="N124" s="1">
        <v>71677898</v>
      </c>
      <c r="O124" s="1">
        <v>59506857</v>
      </c>
      <c r="P124" s="1">
        <v>25537593</v>
      </c>
      <c r="Q124" s="1">
        <v>85044451</v>
      </c>
      <c r="R124">
        <v>85.02</v>
      </c>
      <c r="S124">
        <v>82.57</v>
      </c>
      <c r="T124">
        <v>84.28</v>
      </c>
      <c r="U124" s="2">
        <f t="shared" si="5"/>
        <v>41334</v>
      </c>
      <c r="V124" t="str">
        <f t="shared" si="6"/>
        <v>Spring</v>
      </c>
    </row>
    <row r="125" spans="1:22" x14ac:dyDescent="0.35">
      <c r="A125">
        <v>2013</v>
      </c>
      <c r="B125">
        <v>4</v>
      </c>
      <c r="C125" t="str">
        <f t="shared" si="4"/>
        <v>Spring</v>
      </c>
      <c r="D125">
        <f>IF(G125 &gt;= Table4[[#Totals],[Pax]], 1, 0)</f>
        <v>0</v>
      </c>
      <c r="E125" s="1">
        <v>53228575</v>
      </c>
      <c r="F125" s="1">
        <v>7562330</v>
      </c>
      <c r="G125" s="1">
        <v>60790905</v>
      </c>
      <c r="H125" s="1">
        <f t="shared" si="7"/>
        <v>64891924</v>
      </c>
      <c r="I125" s="1">
        <v>693876</v>
      </c>
      <c r="J125" s="1">
        <v>69117</v>
      </c>
      <c r="K125" s="1">
        <v>762993</v>
      </c>
      <c r="L125" s="1">
        <v>47323331</v>
      </c>
      <c r="M125" s="1">
        <v>20045084</v>
      </c>
      <c r="N125" s="1">
        <v>67368414</v>
      </c>
      <c r="O125" s="1">
        <v>57130620</v>
      </c>
      <c r="P125" s="1">
        <v>25447607</v>
      </c>
      <c r="Q125" s="1">
        <v>82578227</v>
      </c>
      <c r="R125">
        <v>82.83</v>
      </c>
      <c r="S125">
        <v>78.77</v>
      </c>
      <c r="T125">
        <v>81.58</v>
      </c>
      <c r="U125" s="2">
        <f t="shared" si="5"/>
        <v>41365</v>
      </c>
      <c r="V125" t="str">
        <f t="shared" si="6"/>
        <v>Spring</v>
      </c>
    </row>
    <row r="126" spans="1:22" x14ac:dyDescent="0.35">
      <c r="A126">
        <v>2013</v>
      </c>
      <c r="B126">
        <v>5</v>
      </c>
      <c r="C126" t="str">
        <f t="shared" si="4"/>
        <v>Spring</v>
      </c>
      <c r="D126">
        <f>IF(G126 &gt;= Table4[[#Totals],[Pax]], 1, 0)</f>
        <v>1</v>
      </c>
      <c r="E126" s="1">
        <v>56562929</v>
      </c>
      <c r="F126" s="1">
        <v>8023420</v>
      </c>
      <c r="G126" s="1">
        <v>64586349</v>
      </c>
      <c r="H126" s="1">
        <f t="shared" si="7"/>
        <v>60790905</v>
      </c>
      <c r="I126" s="1">
        <v>721429</v>
      </c>
      <c r="J126" s="1">
        <v>70699</v>
      </c>
      <c r="K126" s="1">
        <v>792128</v>
      </c>
      <c r="L126" s="1">
        <v>50124875</v>
      </c>
      <c r="M126" s="1">
        <v>22377482</v>
      </c>
      <c r="N126" s="1">
        <v>72502358</v>
      </c>
      <c r="O126" s="1">
        <v>59071089</v>
      </c>
      <c r="P126" s="1">
        <v>26997317</v>
      </c>
      <c r="Q126" s="1">
        <v>86068406</v>
      </c>
      <c r="R126">
        <v>84.86</v>
      </c>
      <c r="S126">
        <v>82.89</v>
      </c>
      <c r="T126">
        <v>84.24</v>
      </c>
      <c r="U126" s="2">
        <f t="shared" si="5"/>
        <v>41395</v>
      </c>
      <c r="V126" t="str">
        <f t="shared" si="6"/>
        <v>Spring</v>
      </c>
    </row>
    <row r="127" spans="1:22" x14ac:dyDescent="0.35">
      <c r="A127">
        <v>2013</v>
      </c>
      <c r="B127">
        <v>6</v>
      </c>
      <c r="C127" t="str">
        <f t="shared" si="4"/>
        <v>Summer</v>
      </c>
      <c r="D127">
        <f>IF(G127 &gt;= Table4[[#Totals],[Pax]], 1, 0)</f>
        <v>1</v>
      </c>
      <c r="E127" s="1">
        <v>57990789</v>
      </c>
      <c r="F127" s="1">
        <v>8883643</v>
      </c>
      <c r="G127" s="1">
        <v>66874432</v>
      </c>
      <c r="H127" s="1">
        <f t="shared" si="7"/>
        <v>64586349</v>
      </c>
      <c r="I127" s="1">
        <v>719340</v>
      </c>
      <c r="J127" s="1">
        <v>72922</v>
      </c>
      <c r="K127" s="1">
        <v>792262</v>
      </c>
      <c r="L127" s="1">
        <v>52826886</v>
      </c>
      <c r="M127" s="1">
        <v>24553427</v>
      </c>
      <c r="N127" s="1">
        <v>77380313</v>
      </c>
      <c r="O127" s="1">
        <v>60724524</v>
      </c>
      <c r="P127" s="1">
        <v>28241852</v>
      </c>
      <c r="Q127" s="1">
        <v>88966376</v>
      </c>
      <c r="R127">
        <v>86.99</v>
      </c>
      <c r="S127">
        <v>86.94</v>
      </c>
      <c r="T127">
        <v>86.98</v>
      </c>
      <c r="U127" s="2">
        <f t="shared" si="5"/>
        <v>41426</v>
      </c>
      <c r="V127" t="str">
        <f t="shared" si="6"/>
        <v>Summer</v>
      </c>
    </row>
    <row r="128" spans="1:22" x14ac:dyDescent="0.35">
      <c r="A128">
        <v>2013</v>
      </c>
      <c r="B128">
        <v>7</v>
      </c>
      <c r="C128" t="str">
        <f t="shared" si="4"/>
        <v>Summer</v>
      </c>
      <c r="D128">
        <f>IF(G128 &gt;= Table4[[#Totals],[Pax]], 1, 0)</f>
        <v>1</v>
      </c>
      <c r="E128" s="1">
        <v>59310478</v>
      </c>
      <c r="F128" s="1">
        <v>9709009</v>
      </c>
      <c r="G128" s="1">
        <v>69019487</v>
      </c>
      <c r="H128" s="1">
        <f t="shared" si="7"/>
        <v>66874432</v>
      </c>
      <c r="I128" s="1">
        <v>751473</v>
      </c>
      <c r="J128" s="1">
        <v>77429</v>
      </c>
      <c r="K128" s="1">
        <v>828902</v>
      </c>
      <c r="L128" s="1">
        <v>54754440</v>
      </c>
      <c r="M128" s="1">
        <v>26042187</v>
      </c>
      <c r="N128" s="1">
        <v>80796627</v>
      </c>
      <c r="O128" s="1">
        <v>63316272</v>
      </c>
      <c r="P128" s="1">
        <v>29900939</v>
      </c>
      <c r="Q128" s="1">
        <v>93217210</v>
      </c>
      <c r="R128">
        <v>86.48</v>
      </c>
      <c r="S128">
        <v>87.09</v>
      </c>
      <c r="T128">
        <v>86.68</v>
      </c>
      <c r="U128" s="2">
        <f t="shared" si="5"/>
        <v>41456</v>
      </c>
      <c r="V128" t="str">
        <f t="shared" si="6"/>
        <v>Summer</v>
      </c>
    </row>
    <row r="129" spans="1:22" x14ac:dyDescent="0.35">
      <c r="A129">
        <v>2013</v>
      </c>
      <c r="B129">
        <v>8</v>
      </c>
      <c r="C129" t="str">
        <f t="shared" si="4"/>
        <v>Summer</v>
      </c>
      <c r="D129">
        <f>IF(G129 &gt;= Table4[[#Totals],[Pax]], 1, 0)</f>
        <v>1</v>
      </c>
      <c r="E129" s="1">
        <v>58115405</v>
      </c>
      <c r="F129" s="1">
        <v>9403309</v>
      </c>
      <c r="G129" s="1">
        <v>67518714</v>
      </c>
      <c r="H129" s="1">
        <f t="shared" si="7"/>
        <v>69019487</v>
      </c>
      <c r="I129" s="1">
        <v>747070</v>
      </c>
      <c r="J129" s="1">
        <v>75176</v>
      </c>
      <c r="K129" s="1">
        <v>822246</v>
      </c>
      <c r="L129" s="1">
        <v>53123226</v>
      </c>
      <c r="M129" s="1">
        <v>25714167</v>
      </c>
      <c r="N129" s="1">
        <v>78837393</v>
      </c>
      <c r="O129" s="1">
        <v>62097316</v>
      </c>
      <c r="P129" s="1">
        <v>29469344</v>
      </c>
      <c r="Q129" s="1">
        <v>91566659</v>
      </c>
      <c r="R129">
        <v>85.55</v>
      </c>
      <c r="S129">
        <v>87.26</v>
      </c>
      <c r="T129">
        <v>86.1</v>
      </c>
      <c r="U129" s="2">
        <f t="shared" si="5"/>
        <v>41487</v>
      </c>
      <c r="V129" t="str">
        <f t="shared" si="6"/>
        <v>Summer</v>
      </c>
    </row>
    <row r="130" spans="1:22" x14ac:dyDescent="0.35">
      <c r="A130">
        <v>2013</v>
      </c>
      <c r="B130">
        <v>9</v>
      </c>
      <c r="C130" t="str">
        <f t="shared" ref="C130:C193" si="8">IF(B130&lt;=2,"Winter",
 IF(B130&lt;=5,"Spring",
 IF(B130&lt;=8,"Summer","Fall")))</f>
        <v>Fall</v>
      </c>
      <c r="D130">
        <f>IF(G130 &gt;= Table4[[#Totals],[Pax]], 1, 0)</f>
        <v>0</v>
      </c>
      <c r="E130" s="1">
        <v>50766098</v>
      </c>
      <c r="F130" s="1">
        <v>7255037</v>
      </c>
      <c r="G130" s="1">
        <v>58021135</v>
      </c>
      <c r="H130" s="1">
        <f t="shared" si="7"/>
        <v>67518714</v>
      </c>
      <c r="I130" s="1">
        <v>683379</v>
      </c>
      <c r="J130" s="1">
        <v>62011</v>
      </c>
      <c r="K130" s="1">
        <v>745390</v>
      </c>
      <c r="L130" s="1">
        <v>44654213</v>
      </c>
      <c r="M130" s="1">
        <v>21483923</v>
      </c>
      <c r="N130" s="1">
        <v>66138136</v>
      </c>
      <c r="O130" s="1">
        <v>55225708</v>
      </c>
      <c r="P130" s="1">
        <v>25751134</v>
      </c>
      <c r="Q130" s="1">
        <v>80976841</v>
      </c>
      <c r="R130">
        <v>80.86</v>
      </c>
      <c r="S130">
        <v>83.43</v>
      </c>
      <c r="T130">
        <v>81.680000000000007</v>
      </c>
      <c r="U130" s="2">
        <f t="shared" si="5"/>
        <v>41518</v>
      </c>
      <c r="V130" t="str">
        <f t="shared" si="6"/>
        <v>Fall</v>
      </c>
    </row>
    <row r="131" spans="1:22" x14ac:dyDescent="0.35">
      <c r="A131">
        <v>2013</v>
      </c>
      <c r="B131">
        <v>10</v>
      </c>
      <c r="C131" t="str">
        <f t="shared" si="8"/>
        <v>Fall</v>
      </c>
      <c r="D131">
        <f>IF(G131 &gt;= Table4[[#Totals],[Pax]], 1, 0)</f>
        <v>0</v>
      </c>
      <c r="E131" s="1">
        <v>54706177</v>
      </c>
      <c r="F131" s="1">
        <v>7274427</v>
      </c>
      <c r="G131" s="1">
        <v>61980604</v>
      </c>
      <c r="H131" s="1">
        <f t="shared" si="7"/>
        <v>58021135</v>
      </c>
      <c r="I131" s="1">
        <v>708414</v>
      </c>
      <c r="J131" s="1">
        <v>64554</v>
      </c>
      <c r="K131" s="1">
        <v>772968</v>
      </c>
      <c r="L131" s="1">
        <v>47859063</v>
      </c>
      <c r="M131" s="1">
        <v>20748717</v>
      </c>
      <c r="N131" s="1">
        <v>68607779</v>
      </c>
      <c r="O131" s="1">
        <v>57851883</v>
      </c>
      <c r="P131" s="1">
        <v>25572700</v>
      </c>
      <c r="Q131" s="1">
        <v>83424583</v>
      </c>
      <c r="R131">
        <v>82.73</v>
      </c>
      <c r="S131">
        <v>81.14</v>
      </c>
      <c r="T131">
        <v>82.24</v>
      </c>
      <c r="U131" s="2">
        <f t="shared" ref="U131:U194" si="9">DATE(A131, B131, 1)</f>
        <v>41548</v>
      </c>
      <c r="V131" t="str">
        <f t="shared" ref="V131:V194" si="10">IF(OR(B131=12,B131=1,B131=2),"Winter",
IF(OR(B131=3,B131=4,B131=5),"Spring",
IF(OR(B131=6,B131=7,B131=8),"Summer","Fall")))</f>
        <v>Fall</v>
      </c>
    </row>
    <row r="132" spans="1:22" x14ac:dyDescent="0.35">
      <c r="A132">
        <v>2013</v>
      </c>
      <c r="B132">
        <v>11</v>
      </c>
      <c r="C132" t="str">
        <f t="shared" si="8"/>
        <v>Fall</v>
      </c>
      <c r="D132">
        <f>IF(G132 &gt;= Table4[[#Totals],[Pax]], 1, 0)</f>
        <v>0</v>
      </c>
      <c r="E132" s="1">
        <v>50542332</v>
      </c>
      <c r="F132" s="1">
        <v>6880849</v>
      </c>
      <c r="G132" s="1">
        <v>57423181</v>
      </c>
      <c r="H132" s="1">
        <f t="shared" ref="H132:H195" si="11">G131</f>
        <v>61980604</v>
      </c>
      <c r="I132" s="1">
        <v>655776</v>
      </c>
      <c r="J132" s="1">
        <v>63286</v>
      </c>
      <c r="K132" s="1">
        <v>719062</v>
      </c>
      <c r="L132" s="1">
        <v>44420301</v>
      </c>
      <c r="M132" s="1">
        <v>18154243</v>
      </c>
      <c r="N132" s="1">
        <v>62574544</v>
      </c>
      <c r="O132" s="1">
        <v>55462933</v>
      </c>
      <c r="P132" s="1">
        <v>23420132</v>
      </c>
      <c r="Q132" s="1">
        <v>78883064</v>
      </c>
      <c r="R132">
        <v>80.09</v>
      </c>
      <c r="S132">
        <v>77.52</v>
      </c>
      <c r="T132">
        <v>79.33</v>
      </c>
      <c r="U132" s="2">
        <f t="shared" si="9"/>
        <v>41579</v>
      </c>
      <c r="V132" t="str">
        <f t="shared" si="10"/>
        <v>Fall</v>
      </c>
    </row>
    <row r="133" spans="1:22" x14ac:dyDescent="0.35">
      <c r="A133">
        <v>2013</v>
      </c>
      <c r="B133">
        <v>12</v>
      </c>
      <c r="C133" t="str">
        <f t="shared" si="8"/>
        <v>Fall</v>
      </c>
      <c r="D133">
        <f>IF(G133 &gt;= Table4[[#Totals],[Pax]], 1, 0)</f>
        <v>0</v>
      </c>
      <c r="E133" s="1">
        <v>54332936</v>
      </c>
      <c r="F133" s="1">
        <v>7967171</v>
      </c>
      <c r="G133" s="1">
        <v>62300107</v>
      </c>
      <c r="H133" s="1">
        <f t="shared" si="11"/>
        <v>57423181</v>
      </c>
      <c r="I133" s="1">
        <v>662288</v>
      </c>
      <c r="J133" s="1">
        <v>69136</v>
      </c>
      <c r="K133" s="1">
        <v>731424</v>
      </c>
      <c r="L133" s="1">
        <v>49132863</v>
      </c>
      <c r="M133" s="1">
        <v>20735571</v>
      </c>
      <c r="N133" s="1">
        <v>69868434</v>
      </c>
      <c r="O133" s="1">
        <v>57751867</v>
      </c>
      <c r="P133" s="1">
        <v>25019442</v>
      </c>
      <c r="Q133" s="1">
        <v>82771309</v>
      </c>
      <c r="R133">
        <v>85.08</v>
      </c>
      <c r="S133">
        <v>82.88</v>
      </c>
      <c r="T133">
        <v>84.41</v>
      </c>
      <c r="U133" s="2">
        <f t="shared" si="9"/>
        <v>41609</v>
      </c>
      <c r="V133" t="str">
        <f t="shared" si="10"/>
        <v>Winter</v>
      </c>
    </row>
    <row r="134" spans="1:22" x14ac:dyDescent="0.35">
      <c r="A134">
        <v>2014</v>
      </c>
      <c r="B134">
        <v>1</v>
      </c>
      <c r="C134" t="str">
        <f t="shared" si="8"/>
        <v>Winter</v>
      </c>
      <c r="D134">
        <f>IF(G134 &gt;= Table4[[#Totals],[Pax]], 1, 0)</f>
        <v>0</v>
      </c>
      <c r="E134" s="1">
        <v>47957371</v>
      </c>
      <c r="F134" s="1">
        <v>7671576</v>
      </c>
      <c r="G134" s="1">
        <v>55628947</v>
      </c>
      <c r="H134" s="1">
        <f t="shared" si="11"/>
        <v>62300107</v>
      </c>
      <c r="I134" s="1">
        <v>624812</v>
      </c>
      <c r="J134" s="1">
        <v>68624</v>
      </c>
      <c r="K134" s="1">
        <v>693436</v>
      </c>
      <c r="L134" s="1">
        <v>43564242</v>
      </c>
      <c r="M134" s="1">
        <v>20028742</v>
      </c>
      <c r="N134" s="1">
        <v>63592984</v>
      </c>
      <c r="O134" s="1">
        <v>54016077</v>
      </c>
      <c r="P134" s="1">
        <v>25155594</v>
      </c>
      <c r="Q134" s="1">
        <v>79171671</v>
      </c>
      <c r="R134">
        <v>80.650000000000006</v>
      </c>
      <c r="S134">
        <v>79.62</v>
      </c>
      <c r="T134">
        <v>80.319999999999993</v>
      </c>
      <c r="U134" s="2">
        <f t="shared" si="9"/>
        <v>41640</v>
      </c>
      <c r="V134" t="str">
        <f t="shared" si="10"/>
        <v>Winter</v>
      </c>
    </row>
    <row r="135" spans="1:22" x14ac:dyDescent="0.35">
      <c r="A135">
        <v>2014</v>
      </c>
      <c r="B135">
        <v>2</v>
      </c>
      <c r="C135" t="str">
        <f t="shared" si="8"/>
        <v>Winter</v>
      </c>
      <c r="D135">
        <f>IF(G135 &gt;= Table4[[#Totals],[Pax]], 1, 0)</f>
        <v>0</v>
      </c>
      <c r="E135" s="1">
        <v>45513184</v>
      </c>
      <c r="F135" s="1">
        <v>6770046</v>
      </c>
      <c r="G135" s="1">
        <v>52283230</v>
      </c>
      <c r="H135" s="1">
        <f t="shared" si="11"/>
        <v>55628947</v>
      </c>
      <c r="I135" s="1">
        <v>577191</v>
      </c>
      <c r="J135" s="1">
        <v>63469</v>
      </c>
      <c r="K135" s="1">
        <v>640660</v>
      </c>
      <c r="L135" s="1">
        <v>40543404</v>
      </c>
      <c r="M135" s="1">
        <v>16936813</v>
      </c>
      <c r="N135" s="1">
        <v>57480217</v>
      </c>
      <c r="O135" s="1">
        <v>49369928</v>
      </c>
      <c r="P135" s="1">
        <v>22614187</v>
      </c>
      <c r="Q135" s="1">
        <v>71984116</v>
      </c>
      <c r="R135">
        <v>82.12</v>
      </c>
      <c r="S135">
        <v>74.89</v>
      </c>
      <c r="T135">
        <v>79.849999999999994</v>
      </c>
      <c r="U135" s="2">
        <f t="shared" si="9"/>
        <v>41671</v>
      </c>
      <c r="V135" t="str">
        <f t="shared" si="10"/>
        <v>Winter</v>
      </c>
    </row>
    <row r="136" spans="1:22" x14ac:dyDescent="0.35">
      <c r="A136">
        <v>2014</v>
      </c>
      <c r="B136">
        <v>3</v>
      </c>
      <c r="C136" t="str">
        <f t="shared" si="8"/>
        <v>Spring</v>
      </c>
      <c r="D136">
        <f>IF(G136 &gt;= Table4[[#Totals],[Pax]], 1, 0)</f>
        <v>1</v>
      </c>
      <c r="E136" s="1">
        <v>57761938</v>
      </c>
      <c r="F136" s="1">
        <v>8503133</v>
      </c>
      <c r="G136" s="1">
        <v>66265071</v>
      </c>
      <c r="H136" s="1">
        <f t="shared" si="11"/>
        <v>52283230</v>
      </c>
      <c r="I136" s="1">
        <v>696376</v>
      </c>
      <c r="J136" s="1">
        <v>76064</v>
      </c>
      <c r="K136" s="1">
        <v>772440</v>
      </c>
      <c r="L136" s="1">
        <v>51862069</v>
      </c>
      <c r="M136" s="1">
        <v>21310134</v>
      </c>
      <c r="N136" s="1">
        <v>73172203</v>
      </c>
      <c r="O136" s="1">
        <v>60675476</v>
      </c>
      <c r="P136" s="1">
        <v>26884781</v>
      </c>
      <c r="Q136" s="1">
        <v>87560258</v>
      </c>
      <c r="R136">
        <v>85.47</v>
      </c>
      <c r="S136">
        <v>79.260000000000005</v>
      </c>
      <c r="T136">
        <v>83.57</v>
      </c>
      <c r="U136" s="2">
        <f t="shared" si="9"/>
        <v>41699</v>
      </c>
      <c r="V136" t="str">
        <f t="shared" si="10"/>
        <v>Spring</v>
      </c>
    </row>
    <row r="137" spans="1:22" x14ac:dyDescent="0.35">
      <c r="A137">
        <v>2014</v>
      </c>
      <c r="B137">
        <v>4</v>
      </c>
      <c r="C137" t="str">
        <f t="shared" si="8"/>
        <v>Spring</v>
      </c>
      <c r="D137">
        <f>IF(G137 &gt;= Table4[[#Totals],[Pax]], 1, 0)</f>
        <v>1</v>
      </c>
      <c r="E137" s="1">
        <v>55247482</v>
      </c>
      <c r="F137" s="1">
        <v>8094515</v>
      </c>
      <c r="G137" s="1">
        <v>63341997</v>
      </c>
      <c r="H137" s="1">
        <f t="shared" si="11"/>
        <v>66265071</v>
      </c>
      <c r="I137" s="1">
        <v>676337</v>
      </c>
      <c r="J137" s="1">
        <v>71580</v>
      </c>
      <c r="K137" s="1">
        <v>747917</v>
      </c>
      <c r="L137" s="1">
        <v>49245719</v>
      </c>
      <c r="M137" s="1">
        <v>21103585</v>
      </c>
      <c r="N137" s="1">
        <v>70349305</v>
      </c>
      <c r="O137" s="1">
        <v>57998604</v>
      </c>
      <c r="P137" s="1">
        <v>26343479</v>
      </c>
      <c r="Q137" s="1">
        <v>84342083</v>
      </c>
      <c r="R137">
        <v>84.91</v>
      </c>
      <c r="S137">
        <v>80.11</v>
      </c>
      <c r="T137">
        <v>83.41</v>
      </c>
      <c r="U137" s="2">
        <f t="shared" si="9"/>
        <v>41730</v>
      </c>
      <c r="V137" t="str">
        <f t="shared" si="10"/>
        <v>Spring</v>
      </c>
    </row>
    <row r="138" spans="1:22" x14ac:dyDescent="0.35">
      <c r="A138">
        <v>2014</v>
      </c>
      <c r="B138">
        <v>5</v>
      </c>
      <c r="C138" t="str">
        <f t="shared" si="8"/>
        <v>Spring</v>
      </c>
      <c r="D138">
        <f>IF(G138 &gt;= Table4[[#Totals],[Pax]], 1, 0)</f>
        <v>1</v>
      </c>
      <c r="E138" s="1">
        <v>57888637</v>
      </c>
      <c r="F138" s="1">
        <v>8479378</v>
      </c>
      <c r="G138" s="1">
        <v>66368015</v>
      </c>
      <c r="H138" s="1">
        <f t="shared" si="11"/>
        <v>63341997</v>
      </c>
      <c r="I138" s="1">
        <v>695855</v>
      </c>
      <c r="J138" s="1">
        <v>72994</v>
      </c>
      <c r="K138" s="1">
        <v>768849</v>
      </c>
      <c r="L138" s="1">
        <v>51524009</v>
      </c>
      <c r="M138" s="1">
        <v>23291494</v>
      </c>
      <c r="N138" s="1">
        <v>74815503</v>
      </c>
      <c r="O138" s="1">
        <v>59709929</v>
      </c>
      <c r="P138" s="1">
        <v>28271254</v>
      </c>
      <c r="Q138" s="1">
        <v>87981183</v>
      </c>
      <c r="R138">
        <v>86.29</v>
      </c>
      <c r="S138">
        <v>82.39</v>
      </c>
      <c r="T138">
        <v>85.04</v>
      </c>
      <c r="U138" s="2">
        <f t="shared" si="9"/>
        <v>41760</v>
      </c>
      <c r="V138" t="str">
        <f t="shared" si="10"/>
        <v>Spring</v>
      </c>
    </row>
    <row r="139" spans="1:22" x14ac:dyDescent="0.35">
      <c r="A139">
        <v>2014</v>
      </c>
      <c r="B139">
        <v>6</v>
      </c>
      <c r="C139" t="str">
        <f t="shared" si="8"/>
        <v>Summer</v>
      </c>
      <c r="D139">
        <f>IF(G139 &gt;= Table4[[#Totals],[Pax]], 1, 0)</f>
        <v>1</v>
      </c>
      <c r="E139" s="1">
        <v>59261855</v>
      </c>
      <c r="F139" s="1">
        <v>9196927</v>
      </c>
      <c r="G139" s="1">
        <v>68458782</v>
      </c>
      <c r="H139" s="1">
        <f t="shared" si="11"/>
        <v>66368015</v>
      </c>
      <c r="I139" s="1">
        <v>701992</v>
      </c>
      <c r="J139" s="1">
        <v>76431</v>
      </c>
      <c r="K139" s="1">
        <v>778423</v>
      </c>
      <c r="L139" s="1">
        <v>53979753</v>
      </c>
      <c r="M139" s="1">
        <v>25120695</v>
      </c>
      <c r="N139" s="1">
        <v>79100448</v>
      </c>
      <c r="O139" s="1">
        <v>61760043</v>
      </c>
      <c r="P139" s="1">
        <v>29751163</v>
      </c>
      <c r="Q139" s="1">
        <v>91511206</v>
      </c>
      <c r="R139">
        <v>87.4</v>
      </c>
      <c r="S139">
        <v>84.44</v>
      </c>
      <c r="T139">
        <v>86.44</v>
      </c>
      <c r="U139" s="2">
        <f t="shared" si="9"/>
        <v>41791</v>
      </c>
      <c r="V139" t="str">
        <f t="shared" si="10"/>
        <v>Summer</v>
      </c>
    </row>
    <row r="140" spans="1:22" x14ac:dyDescent="0.35">
      <c r="A140">
        <v>2014</v>
      </c>
      <c r="B140">
        <v>7</v>
      </c>
      <c r="C140" t="str">
        <f t="shared" si="8"/>
        <v>Summer</v>
      </c>
      <c r="D140">
        <f>IF(G140 &gt;= Table4[[#Totals],[Pax]], 1, 0)</f>
        <v>1</v>
      </c>
      <c r="E140" s="1">
        <v>61757222</v>
      </c>
      <c r="F140" s="1">
        <v>9988913</v>
      </c>
      <c r="G140" s="1">
        <v>71746135</v>
      </c>
      <c r="H140" s="1">
        <f t="shared" si="11"/>
        <v>68458782</v>
      </c>
      <c r="I140" s="1">
        <v>735424</v>
      </c>
      <c r="J140" s="1">
        <v>80457</v>
      </c>
      <c r="K140" s="1">
        <v>815881</v>
      </c>
      <c r="L140" s="1">
        <v>56874287</v>
      </c>
      <c r="M140" s="1">
        <v>26435210</v>
      </c>
      <c r="N140" s="1">
        <v>83309497</v>
      </c>
      <c r="O140" s="1">
        <v>64773257</v>
      </c>
      <c r="P140" s="1">
        <v>31266476</v>
      </c>
      <c r="Q140" s="1">
        <v>96039732</v>
      </c>
      <c r="R140">
        <v>87.81</v>
      </c>
      <c r="S140">
        <v>84.55</v>
      </c>
      <c r="T140">
        <v>86.74</v>
      </c>
      <c r="U140" s="2">
        <f t="shared" si="9"/>
        <v>41821</v>
      </c>
      <c r="V140" t="str">
        <f t="shared" si="10"/>
        <v>Summer</v>
      </c>
    </row>
    <row r="141" spans="1:22" x14ac:dyDescent="0.35">
      <c r="A141">
        <v>2014</v>
      </c>
      <c r="B141">
        <v>8</v>
      </c>
      <c r="C141" t="str">
        <f t="shared" si="8"/>
        <v>Summer</v>
      </c>
      <c r="D141">
        <f>IF(G141 &gt;= Table4[[#Totals],[Pax]], 1, 0)</f>
        <v>1</v>
      </c>
      <c r="E141" s="1">
        <v>59758814</v>
      </c>
      <c r="F141" s="1">
        <v>9629317</v>
      </c>
      <c r="G141" s="1">
        <v>69388131</v>
      </c>
      <c r="H141" s="1">
        <f t="shared" si="11"/>
        <v>71746135</v>
      </c>
      <c r="I141" s="1">
        <v>723997</v>
      </c>
      <c r="J141" s="1">
        <v>76481</v>
      </c>
      <c r="K141" s="1">
        <v>800478</v>
      </c>
      <c r="L141" s="1">
        <v>54640338</v>
      </c>
      <c r="M141" s="1">
        <v>26231520</v>
      </c>
      <c r="N141" s="1">
        <v>80871859</v>
      </c>
      <c r="O141" s="1">
        <v>62868005</v>
      </c>
      <c r="P141" s="1">
        <v>30621247</v>
      </c>
      <c r="Q141" s="1">
        <v>93489252</v>
      </c>
      <c r="R141">
        <v>86.91</v>
      </c>
      <c r="S141">
        <v>85.66</v>
      </c>
      <c r="T141">
        <v>86.5</v>
      </c>
      <c r="U141" s="2">
        <f t="shared" si="9"/>
        <v>41852</v>
      </c>
      <c r="V141" t="str">
        <f t="shared" si="10"/>
        <v>Summer</v>
      </c>
    </row>
    <row r="142" spans="1:22" x14ac:dyDescent="0.35">
      <c r="A142">
        <v>2014</v>
      </c>
      <c r="B142">
        <v>9</v>
      </c>
      <c r="C142" t="str">
        <f t="shared" si="8"/>
        <v>Fall</v>
      </c>
      <c r="D142">
        <f>IF(G142 &gt;= Table4[[#Totals],[Pax]], 1, 0)</f>
        <v>0</v>
      </c>
      <c r="E142" s="1">
        <v>52529329</v>
      </c>
      <c r="F142" s="1">
        <v>7342936</v>
      </c>
      <c r="G142" s="1">
        <v>59872265</v>
      </c>
      <c r="H142" s="1">
        <f t="shared" si="11"/>
        <v>69388131</v>
      </c>
      <c r="I142" s="1">
        <v>665490</v>
      </c>
      <c r="J142" s="1">
        <v>62408</v>
      </c>
      <c r="K142" s="1">
        <v>727898</v>
      </c>
      <c r="L142" s="1">
        <v>46336496</v>
      </c>
      <c r="M142" s="1">
        <v>21739193</v>
      </c>
      <c r="N142" s="1">
        <v>68075689</v>
      </c>
      <c r="O142" s="1">
        <v>56458422</v>
      </c>
      <c r="P142" s="1">
        <v>26575230</v>
      </c>
      <c r="Q142" s="1">
        <v>83033652</v>
      </c>
      <c r="R142">
        <v>82.07</v>
      </c>
      <c r="S142">
        <v>81.8</v>
      </c>
      <c r="T142">
        <v>81.99</v>
      </c>
      <c r="U142" s="2">
        <f t="shared" si="9"/>
        <v>41883</v>
      </c>
      <c r="V142" t="str">
        <f t="shared" si="10"/>
        <v>Fall</v>
      </c>
    </row>
    <row r="143" spans="1:22" x14ac:dyDescent="0.35">
      <c r="A143">
        <v>2014</v>
      </c>
      <c r="B143">
        <v>10</v>
      </c>
      <c r="C143" t="str">
        <f t="shared" si="8"/>
        <v>Fall</v>
      </c>
      <c r="D143">
        <f>IF(G143 &gt;= Table4[[#Totals],[Pax]], 1, 0)</f>
        <v>1</v>
      </c>
      <c r="E143" s="1">
        <v>57084257</v>
      </c>
      <c r="F143" s="1">
        <v>7286846</v>
      </c>
      <c r="G143" s="1">
        <v>64371103</v>
      </c>
      <c r="H143" s="1">
        <f t="shared" si="11"/>
        <v>59872265</v>
      </c>
      <c r="I143" s="1">
        <v>693925</v>
      </c>
      <c r="J143" s="1">
        <v>63369</v>
      </c>
      <c r="K143" s="1">
        <v>757294</v>
      </c>
      <c r="L143" s="1">
        <v>50112975</v>
      </c>
      <c r="M143" s="1">
        <v>20835706</v>
      </c>
      <c r="N143" s="1">
        <v>70948681</v>
      </c>
      <c r="O143" s="1">
        <v>59584323</v>
      </c>
      <c r="P143" s="1">
        <v>26072467</v>
      </c>
      <c r="Q143" s="1">
        <v>85656790</v>
      </c>
      <c r="R143">
        <v>84.1</v>
      </c>
      <c r="S143">
        <v>79.91</v>
      </c>
      <c r="T143">
        <v>82.83</v>
      </c>
      <c r="U143" s="2">
        <f t="shared" si="9"/>
        <v>41913</v>
      </c>
      <c r="V143" t="str">
        <f t="shared" si="10"/>
        <v>Fall</v>
      </c>
    </row>
    <row r="144" spans="1:22" x14ac:dyDescent="0.35">
      <c r="A144">
        <v>2014</v>
      </c>
      <c r="B144">
        <v>11</v>
      </c>
      <c r="C144" t="str">
        <f t="shared" si="8"/>
        <v>Fall</v>
      </c>
      <c r="D144">
        <f>IF(G144 &gt;= Table4[[#Totals],[Pax]], 1, 0)</f>
        <v>0</v>
      </c>
      <c r="E144" s="1">
        <v>52577733</v>
      </c>
      <c r="F144" s="1">
        <v>7049844</v>
      </c>
      <c r="G144" s="1">
        <v>59627577</v>
      </c>
      <c r="H144" s="1">
        <f t="shared" si="11"/>
        <v>64371103</v>
      </c>
      <c r="I144" s="1">
        <v>648891</v>
      </c>
      <c r="J144" s="1">
        <v>64800</v>
      </c>
      <c r="K144" s="1">
        <v>713691</v>
      </c>
      <c r="L144" s="1">
        <v>46352174</v>
      </c>
      <c r="M144" s="1">
        <v>18524898</v>
      </c>
      <c r="N144" s="1">
        <v>64877072</v>
      </c>
      <c r="O144" s="1">
        <v>56949527</v>
      </c>
      <c r="P144" s="1">
        <v>24321971</v>
      </c>
      <c r="Q144" s="1">
        <v>81271498</v>
      </c>
      <c r="R144">
        <v>81.39</v>
      </c>
      <c r="S144">
        <v>76.17</v>
      </c>
      <c r="T144">
        <v>79.83</v>
      </c>
      <c r="U144" s="2">
        <f t="shared" si="9"/>
        <v>41944</v>
      </c>
      <c r="V144" t="str">
        <f t="shared" si="10"/>
        <v>Fall</v>
      </c>
    </row>
    <row r="145" spans="1:22" x14ac:dyDescent="0.35">
      <c r="A145">
        <v>2014</v>
      </c>
      <c r="B145">
        <v>12</v>
      </c>
      <c r="C145" t="str">
        <f t="shared" si="8"/>
        <v>Fall</v>
      </c>
      <c r="D145">
        <f>IF(G145 &gt;= Table4[[#Totals],[Pax]], 1, 0)</f>
        <v>1</v>
      </c>
      <c r="E145" s="1">
        <v>55486727</v>
      </c>
      <c r="F145" s="1">
        <v>8165573</v>
      </c>
      <c r="G145" s="1">
        <v>63652300</v>
      </c>
      <c r="H145" s="1">
        <f t="shared" si="11"/>
        <v>59627577</v>
      </c>
      <c r="I145" s="1">
        <v>666264</v>
      </c>
      <c r="J145" s="1">
        <v>71191</v>
      </c>
      <c r="K145" s="1">
        <v>737455</v>
      </c>
      <c r="L145" s="1">
        <v>50303173</v>
      </c>
      <c r="M145" s="1">
        <v>21132922</v>
      </c>
      <c r="N145" s="1">
        <v>71436095</v>
      </c>
      <c r="O145" s="1">
        <v>60270587</v>
      </c>
      <c r="P145" s="1">
        <v>26175094</v>
      </c>
      <c r="Q145" s="1">
        <v>86445681</v>
      </c>
      <c r="R145">
        <v>83.46</v>
      </c>
      <c r="S145">
        <v>80.739999999999995</v>
      </c>
      <c r="T145">
        <v>82.64</v>
      </c>
      <c r="U145" s="2">
        <f t="shared" si="9"/>
        <v>41974</v>
      </c>
      <c r="V145" t="str">
        <f t="shared" si="10"/>
        <v>Winter</v>
      </c>
    </row>
    <row r="146" spans="1:22" x14ac:dyDescent="0.35">
      <c r="A146">
        <v>2015</v>
      </c>
      <c r="B146">
        <v>1</v>
      </c>
      <c r="C146" t="str">
        <f t="shared" si="8"/>
        <v>Winter</v>
      </c>
      <c r="D146">
        <f>IF(G146 &gt;= Table4[[#Totals],[Pax]], 1, 0)</f>
        <v>0</v>
      </c>
      <c r="E146" s="1">
        <v>49727583</v>
      </c>
      <c r="F146" s="1">
        <v>7936993</v>
      </c>
      <c r="G146" s="1">
        <v>57664576</v>
      </c>
      <c r="H146" s="1">
        <f t="shared" si="11"/>
        <v>63652300</v>
      </c>
      <c r="I146" s="1">
        <v>634734</v>
      </c>
      <c r="J146" s="1">
        <v>69893</v>
      </c>
      <c r="K146" s="1">
        <v>704627</v>
      </c>
      <c r="L146" s="1">
        <v>45137552</v>
      </c>
      <c r="M146" s="1">
        <v>20498038</v>
      </c>
      <c r="N146" s="1">
        <v>65635591</v>
      </c>
      <c r="O146" s="1">
        <v>56980250</v>
      </c>
      <c r="P146" s="1">
        <v>26025329</v>
      </c>
      <c r="Q146" s="1">
        <v>83005579</v>
      </c>
      <c r="R146">
        <v>79.22</v>
      </c>
      <c r="S146">
        <v>78.760000000000005</v>
      </c>
      <c r="T146">
        <v>79.069999999999993</v>
      </c>
      <c r="U146" s="2">
        <f t="shared" si="9"/>
        <v>42005</v>
      </c>
      <c r="V146" t="str">
        <f t="shared" si="10"/>
        <v>Winter</v>
      </c>
    </row>
    <row r="147" spans="1:22" x14ac:dyDescent="0.35">
      <c r="A147">
        <v>2015</v>
      </c>
      <c r="B147">
        <v>2</v>
      </c>
      <c r="C147" t="str">
        <f t="shared" si="8"/>
        <v>Winter</v>
      </c>
      <c r="D147">
        <f>IF(G147 &gt;= Table4[[#Totals],[Pax]], 1, 0)</f>
        <v>0</v>
      </c>
      <c r="E147" s="1">
        <v>47164538</v>
      </c>
      <c r="F147" s="1">
        <v>6886262</v>
      </c>
      <c r="G147" s="1">
        <v>54050800</v>
      </c>
      <c r="H147" s="1">
        <f t="shared" si="11"/>
        <v>57664576</v>
      </c>
      <c r="I147" s="1">
        <v>569972</v>
      </c>
      <c r="J147" s="1">
        <v>62648</v>
      </c>
      <c r="K147" s="1">
        <v>632620</v>
      </c>
      <c r="L147" s="1">
        <v>42248126</v>
      </c>
      <c r="M147" s="1">
        <v>17238321</v>
      </c>
      <c r="N147" s="1">
        <v>59486447</v>
      </c>
      <c r="O147" s="1">
        <v>51251150</v>
      </c>
      <c r="P147" s="1">
        <v>22933198</v>
      </c>
      <c r="Q147" s="1">
        <v>74184348</v>
      </c>
      <c r="R147">
        <v>82.43</v>
      </c>
      <c r="S147">
        <v>75.17</v>
      </c>
      <c r="T147">
        <v>80.19</v>
      </c>
      <c r="U147" s="2">
        <f t="shared" si="9"/>
        <v>42036</v>
      </c>
      <c r="V147" t="str">
        <f t="shared" si="10"/>
        <v>Winter</v>
      </c>
    </row>
    <row r="148" spans="1:22" x14ac:dyDescent="0.35">
      <c r="A148">
        <v>2015</v>
      </c>
      <c r="B148">
        <v>3</v>
      </c>
      <c r="C148" t="str">
        <f t="shared" si="8"/>
        <v>Spring</v>
      </c>
      <c r="D148">
        <f>IF(G148 &gt;= Table4[[#Totals],[Pax]], 1, 0)</f>
        <v>1</v>
      </c>
      <c r="E148" s="1">
        <v>59557228</v>
      </c>
      <c r="F148" s="1">
        <v>8524515</v>
      </c>
      <c r="G148" s="1">
        <v>68081743</v>
      </c>
      <c r="H148" s="1">
        <f t="shared" si="11"/>
        <v>54050800</v>
      </c>
      <c r="I148" s="1">
        <v>683892</v>
      </c>
      <c r="J148" s="1">
        <v>72926</v>
      </c>
      <c r="K148" s="1">
        <v>756818</v>
      </c>
      <c r="L148" s="1">
        <v>53924945</v>
      </c>
      <c r="M148" s="1">
        <v>21511252</v>
      </c>
      <c r="N148" s="1">
        <v>75436197</v>
      </c>
      <c r="O148" s="1">
        <v>62860123</v>
      </c>
      <c r="P148" s="1">
        <v>27071647</v>
      </c>
      <c r="Q148" s="1">
        <v>89931770</v>
      </c>
      <c r="R148">
        <v>85.79</v>
      </c>
      <c r="S148">
        <v>79.459999999999994</v>
      </c>
      <c r="T148">
        <v>83.88</v>
      </c>
      <c r="U148" s="2">
        <f t="shared" si="9"/>
        <v>42064</v>
      </c>
      <c r="V148" t="str">
        <f t="shared" si="10"/>
        <v>Spring</v>
      </c>
    </row>
    <row r="149" spans="1:22" x14ac:dyDescent="0.35">
      <c r="A149">
        <v>2015</v>
      </c>
      <c r="B149">
        <v>4</v>
      </c>
      <c r="C149" t="str">
        <f t="shared" si="8"/>
        <v>Spring</v>
      </c>
      <c r="D149">
        <f>IF(G149 &gt;= Table4[[#Totals],[Pax]], 1, 0)</f>
        <v>1</v>
      </c>
      <c r="E149" s="1">
        <v>57698044</v>
      </c>
      <c r="F149" s="1">
        <v>8119223</v>
      </c>
      <c r="G149" s="1">
        <v>65817267</v>
      </c>
      <c r="H149" s="1">
        <f t="shared" si="11"/>
        <v>68081743</v>
      </c>
      <c r="I149" s="1">
        <v>669783</v>
      </c>
      <c r="J149" s="1">
        <v>70846</v>
      </c>
      <c r="K149" s="1">
        <v>740629</v>
      </c>
      <c r="L149" s="1">
        <v>51883045</v>
      </c>
      <c r="M149" s="1">
        <v>20959421</v>
      </c>
      <c r="N149" s="1">
        <v>72842466</v>
      </c>
      <c r="O149" s="1">
        <v>61116535</v>
      </c>
      <c r="P149" s="1">
        <v>27197262</v>
      </c>
      <c r="Q149" s="1">
        <v>88313797</v>
      </c>
      <c r="R149">
        <v>84.89</v>
      </c>
      <c r="S149">
        <v>77.06</v>
      </c>
      <c r="T149">
        <v>82.48</v>
      </c>
      <c r="U149" s="2">
        <f t="shared" si="9"/>
        <v>42095</v>
      </c>
      <c r="V149" t="str">
        <f t="shared" si="10"/>
        <v>Spring</v>
      </c>
    </row>
    <row r="150" spans="1:22" x14ac:dyDescent="0.35">
      <c r="A150">
        <v>2015</v>
      </c>
      <c r="B150">
        <v>5</v>
      </c>
      <c r="C150" t="str">
        <f t="shared" si="8"/>
        <v>Spring</v>
      </c>
      <c r="D150">
        <f>IF(G150 &gt;= Table4[[#Totals],[Pax]], 1, 0)</f>
        <v>1</v>
      </c>
      <c r="E150" s="1">
        <v>60251945</v>
      </c>
      <c r="F150" s="1">
        <v>8567847</v>
      </c>
      <c r="G150" s="1">
        <v>68819792</v>
      </c>
      <c r="H150" s="1">
        <f t="shared" si="11"/>
        <v>65817267</v>
      </c>
      <c r="I150" s="1">
        <v>690116</v>
      </c>
      <c r="J150" s="1">
        <v>71597</v>
      </c>
      <c r="K150" s="1">
        <v>761713</v>
      </c>
      <c r="L150" s="1">
        <v>54255235</v>
      </c>
      <c r="M150" s="1">
        <v>23490547</v>
      </c>
      <c r="N150" s="1">
        <v>77745782</v>
      </c>
      <c r="O150" s="1">
        <v>63393874</v>
      </c>
      <c r="P150" s="1">
        <v>29064149</v>
      </c>
      <c r="Q150" s="1">
        <v>92458022</v>
      </c>
      <c r="R150">
        <v>85.58</v>
      </c>
      <c r="S150">
        <v>80.819999999999993</v>
      </c>
      <c r="T150">
        <v>84.09</v>
      </c>
      <c r="U150" s="2">
        <f t="shared" si="9"/>
        <v>42125</v>
      </c>
      <c r="V150" t="str">
        <f t="shared" si="10"/>
        <v>Spring</v>
      </c>
    </row>
    <row r="151" spans="1:22" x14ac:dyDescent="0.35">
      <c r="A151">
        <v>2015</v>
      </c>
      <c r="B151">
        <v>6</v>
      </c>
      <c r="C151" t="str">
        <f t="shared" si="8"/>
        <v>Summer</v>
      </c>
      <c r="D151">
        <f>IF(G151 &gt;= Table4[[#Totals],[Pax]], 1, 0)</f>
        <v>1</v>
      </c>
      <c r="E151" s="1">
        <v>61810705</v>
      </c>
      <c r="F151" s="1">
        <v>9352818</v>
      </c>
      <c r="G151" s="1">
        <v>71163523</v>
      </c>
      <c r="H151" s="1">
        <f t="shared" si="11"/>
        <v>68819792</v>
      </c>
      <c r="I151" s="1">
        <v>697378</v>
      </c>
      <c r="J151" s="1">
        <v>74020</v>
      </c>
      <c r="K151" s="1">
        <v>771398</v>
      </c>
      <c r="L151" s="1">
        <v>56994796</v>
      </c>
      <c r="M151" s="1">
        <v>25448026</v>
      </c>
      <c r="N151" s="1">
        <v>82442822</v>
      </c>
      <c r="O151" s="1">
        <v>65232947</v>
      </c>
      <c r="P151" s="1">
        <v>30162970</v>
      </c>
      <c r="Q151" s="1">
        <v>95395918</v>
      </c>
      <c r="R151">
        <v>87.37</v>
      </c>
      <c r="S151">
        <v>84.37</v>
      </c>
      <c r="T151">
        <v>86.42</v>
      </c>
      <c r="U151" s="2">
        <f t="shared" si="9"/>
        <v>42156</v>
      </c>
      <c r="V151" t="str">
        <f t="shared" si="10"/>
        <v>Summer</v>
      </c>
    </row>
    <row r="152" spans="1:22" x14ac:dyDescent="0.35">
      <c r="A152">
        <v>2015</v>
      </c>
      <c r="B152">
        <v>7</v>
      </c>
      <c r="C152" t="str">
        <f t="shared" si="8"/>
        <v>Summer</v>
      </c>
      <c r="D152">
        <f>IF(G152 &gt;= Table4[[#Totals],[Pax]], 1, 0)</f>
        <v>1</v>
      </c>
      <c r="E152" s="1">
        <v>65128528</v>
      </c>
      <c r="F152" s="1">
        <v>10395270</v>
      </c>
      <c r="G152" s="1">
        <v>75523798</v>
      </c>
      <c r="H152" s="1">
        <f t="shared" si="11"/>
        <v>71163523</v>
      </c>
      <c r="I152" s="1">
        <v>732753</v>
      </c>
      <c r="J152" s="1">
        <v>78536</v>
      </c>
      <c r="K152" s="1">
        <v>811289</v>
      </c>
      <c r="L152" s="1">
        <v>60430804</v>
      </c>
      <c r="M152" s="1">
        <v>27573804</v>
      </c>
      <c r="N152" s="1">
        <v>88004608</v>
      </c>
      <c r="O152" s="1">
        <v>68556515</v>
      </c>
      <c r="P152" s="1">
        <v>32116607</v>
      </c>
      <c r="Q152" s="1">
        <v>100673122</v>
      </c>
      <c r="R152">
        <v>88.15</v>
      </c>
      <c r="S152">
        <v>85.86</v>
      </c>
      <c r="T152">
        <v>87.42</v>
      </c>
      <c r="U152" s="2">
        <f t="shared" si="9"/>
        <v>42186</v>
      </c>
      <c r="V152" t="str">
        <f t="shared" si="10"/>
        <v>Summer</v>
      </c>
    </row>
    <row r="153" spans="1:22" x14ac:dyDescent="0.35">
      <c r="A153">
        <v>2015</v>
      </c>
      <c r="B153">
        <v>8</v>
      </c>
      <c r="C153" t="str">
        <f t="shared" si="8"/>
        <v>Summer</v>
      </c>
      <c r="D153">
        <f>IF(G153 &gt;= Table4[[#Totals],[Pax]], 1, 0)</f>
        <v>1</v>
      </c>
      <c r="E153" s="1">
        <v>62770180</v>
      </c>
      <c r="F153" s="1">
        <v>9981208</v>
      </c>
      <c r="G153" s="1">
        <v>72751388</v>
      </c>
      <c r="H153" s="1">
        <f t="shared" si="11"/>
        <v>75523798</v>
      </c>
      <c r="I153" s="1">
        <v>723998</v>
      </c>
      <c r="J153" s="1">
        <v>75991</v>
      </c>
      <c r="K153" s="1">
        <v>799989</v>
      </c>
      <c r="L153" s="1">
        <v>57819107</v>
      </c>
      <c r="M153" s="1">
        <v>27156489</v>
      </c>
      <c r="N153" s="1">
        <v>84975596</v>
      </c>
      <c r="O153" s="1">
        <v>66730854</v>
      </c>
      <c r="P153" s="1">
        <v>31564671</v>
      </c>
      <c r="Q153" s="1">
        <v>98295526</v>
      </c>
      <c r="R153">
        <v>86.65</v>
      </c>
      <c r="S153">
        <v>86.03</v>
      </c>
      <c r="T153">
        <v>86.45</v>
      </c>
      <c r="U153" s="2">
        <f t="shared" si="9"/>
        <v>42217</v>
      </c>
      <c r="V153" t="str">
        <f t="shared" si="10"/>
        <v>Summer</v>
      </c>
    </row>
    <row r="154" spans="1:22" x14ac:dyDescent="0.35">
      <c r="A154">
        <v>2015</v>
      </c>
      <c r="B154">
        <v>9</v>
      </c>
      <c r="C154" t="str">
        <f t="shared" si="8"/>
        <v>Fall</v>
      </c>
      <c r="D154">
        <f>IF(G154 &gt;= Table4[[#Totals],[Pax]], 1, 0)</f>
        <v>1</v>
      </c>
      <c r="E154" s="1">
        <v>55989104</v>
      </c>
      <c r="F154" s="1">
        <v>7656359</v>
      </c>
      <c r="G154" s="1">
        <v>63645463</v>
      </c>
      <c r="H154" s="1">
        <f t="shared" si="11"/>
        <v>72751388</v>
      </c>
      <c r="I154" s="1">
        <v>658392</v>
      </c>
      <c r="J154" s="1">
        <v>62367</v>
      </c>
      <c r="K154" s="1">
        <v>720759</v>
      </c>
      <c r="L154" s="1">
        <v>49857937</v>
      </c>
      <c r="M154" s="1">
        <v>22404240</v>
      </c>
      <c r="N154" s="1">
        <v>72262177</v>
      </c>
      <c r="O154" s="1">
        <v>59511944</v>
      </c>
      <c r="P154" s="1">
        <v>27510443</v>
      </c>
      <c r="Q154" s="1">
        <v>87022387</v>
      </c>
      <c r="R154">
        <v>83.78</v>
      </c>
      <c r="S154">
        <v>81.44</v>
      </c>
      <c r="T154">
        <v>83.04</v>
      </c>
      <c r="U154" s="2">
        <f t="shared" si="9"/>
        <v>42248</v>
      </c>
      <c r="V154" t="str">
        <f t="shared" si="10"/>
        <v>Fall</v>
      </c>
    </row>
    <row r="155" spans="1:22" x14ac:dyDescent="0.35">
      <c r="A155">
        <v>2015</v>
      </c>
      <c r="B155">
        <v>10</v>
      </c>
      <c r="C155" t="str">
        <f t="shared" si="8"/>
        <v>Fall</v>
      </c>
      <c r="D155">
        <f>IF(G155 &gt;= Table4[[#Totals],[Pax]], 1, 0)</f>
        <v>1</v>
      </c>
      <c r="E155" s="1">
        <v>60892131</v>
      </c>
      <c r="F155" s="1">
        <v>7739519</v>
      </c>
      <c r="G155" s="1">
        <v>68631650</v>
      </c>
      <c r="H155" s="1">
        <f t="shared" si="11"/>
        <v>63645463</v>
      </c>
      <c r="I155" s="1">
        <v>687710</v>
      </c>
      <c r="J155" s="1">
        <v>63662</v>
      </c>
      <c r="K155" s="1">
        <v>751372</v>
      </c>
      <c r="L155" s="1">
        <v>54074370</v>
      </c>
      <c r="M155" s="1">
        <v>21786470</v>
      </c>
      <c r="N155" s="1">
        <v>75860840</v>
      </c>
      <c r="O155" s="1">
        <v>62551345</v>
      </c>
      <c r="P155" s="1">
        <v>26675237</v>
      </c>
      <c r="Q155" s="1">
        <v>89226582</v>
      </c>
      <c r="R155">
        <v>86.45</v>
      </c>
      <c r="S155">
        <v>81.67</v>
      </c>
      <c r="T155">
        <v>85.02</v>
      </c>
      <c r="U155" s="2">
        <f t="shared" si="9"/>
        <v>42278</v>
      </c>
      <c r="V155" t="str">
        <f t="shared" si="10"/>
        <v>Fall</v>
      </c>
    </row>
    <row r="156" spans="1:22" x14ac:dyDescent="0.35">
      <c r="A156">
        <v>2015</v>
      </c>
      <c r="B156">
        <v>11</v>
      </c>
      <c r="C156" t="str">
        <f t="shared" si="8"/>
        <v>Fall</v>
      </c>
      <c r="D156">
        <f>IF(G156 &gt;= Table4[[#Totals],[Pax]], 1, 0)</f>
        <v>1</v>
      </c>
      <c r="E156" s="1">
        <v>57150501</v>
      </c>
      <c r="F156" s="1">
        <v>7332481</v>
      </c>
      <c r="G156" s="1">
        <v>64482982</v>
      </c>
      <c r="H156" s="1">
        <f t="shared" si="11"/>
        <v>68631650</v>
      </c>
      <c r="I156" s="1">
        <v>651176</v>
      </c>
      <c r="J156" s="1">
        <v>63492</v>
      </c>
      <c r="K156" s="1">
        <v>714668</v>
      </c>
      <c r="L156" s="1">
        <v>50913042</v>
      </c>
      <c r="M156" s="1">
        <v>18876704</v>
      </c>
      <c r="N156" s="1">
        <v>69789747</v>
      </c>
      <c r="O156" s="1">
        <v>60467124</v>
      </c>
      <c r="P156" s="1">
        <v>24179274</v>
      </c>
      <c r="Q156" s="1">
        <v>84646398</v>
      </c>
      <c r="R156">
        <v>84.2</v>
      </c>
      <c r="S156">
        <v>78.069999999999993</v>
      </c>
      <c r="T156">
        <v>82.45</v>
      </c>
      <c r="U156" s="2">
        <f t="shared" si="9"/>
        <v>42309</v>
      </c>
      <c r="V156" t="str">
        <f t="shared" si="10"/>
        <v>Fall</v>
      </c>
    </row>
    <row r="157" spans="1:22" x14ac:dyDescent="0.35">
      <c r="A157">
        <v>2015</v>
      </c>
      <c r="B157">
        <v>12</v>
      </c>
      <c r="C157" t="str">
        <f t="shared" si="8"/>
        <v>Fall</v>
      </c>
      <c r="D157">
        <f>IF(G157 &gt;= Table4[[#Totals],[Pax]], 1, 0)</f>
        <v>1</v>
      </c>
      <c r="E157" s="1">
        <v>57870281</v>
      </c>
      <c r="F157" s="1">
        <v>8410860</v>
      </c>
      <c r="G157" s="1">
        <v>66281141</v>
      </c>
      <c r="H157" s="1">
        <f t="shared" si="11"/>
        <v>64482982</v>
      </c>
      <c r="I157" s="1">
        <v>659785</v>
      </c>
      <c r="J157" s="1">
        <v>70945</v>
      </c>
      <c r="K157" s="1">
        <v>730730</v>
      </c>
      <c r="L157" s="1">
        <v>53118963</v>
      </c>
      <c r="M157" s="1">
        <v>21432815</v>
      </c>
      <c r="N157" s="1">
        <v>74551779</v>
      </c>
      <c r="O157" s="1">
        <v>63241198</v>
      </c>
      <c r="P157" s="1">
        <v>26711528</v>
      </c>
      <c r="Q157" s="1">
        <v>89952725</v>
      </c>
      <c r="R157">
        <v>83.99</v>
      </c>
      <c r="S157">
        <v>80.239999999999995</v>
      </c>
      <c r="T157">
        <v>82.88</v>
      </c>
      <c r="U157" s="2">
        <f t="shared" si="9"/>
        <v>42339</v>
      </c>
      <c r="V157" t="str">
        <f t="shared" si="10"/>
        <v>Winter</v>
      </c>
    </row>
    <row r="158" spans="1:22" x14ac:dyDescent="0.35">
      <c r="A158">
        <v>2016</v>
      </c>
      <c r="B158">
        <v>1</v>
      </c>
      <c r="C158" t="str">
        <f t="shared" si="8"/>
        <v>Winter</v>
      </c>
      <c r="D158">
        <f>IF(G158 &gt;= Table4[[#Totals],[Pax]], 1, 0)</f>
        <v>0</v>
      </c>
      <c r="E158" s="1">
        <v>52473830</v>
      </c>
      <c r="F158" s="1">
        <v>8220234</v>
      </c>
      <c r="G158" s="1">
        <v>60694064</v>
      </c>
      <c r="H158" s="1">
        <f t="shared" si="11"/>
        <v>66281141</v>
      </c>
      <c r="I158" s="1">
        <v>636761</v>
      </c>
      <c r="J158" s="1">
        <v>70476</v>
      </c>
      <c r="K158" s="1">
        <v>707237</v>
      </c>
      <c r="L158" s="1">
        <v>48074919</v>
      </c>
      <c r="M158" s="1">
        <v>20930267</v>
      </c>
      <c r="N158" s="1">
        <v>69005186</v>
      </c>
      <c r="O158" s="1">
        <v>59672179</v>
      </c>
      <c r="P158" s="1">
        <v>26332010</v>
      </c>
      <c r="Q158" s="1">
        <v>86004190</v>
      </c>
      <c r="R158">
        <v>80.569999999999993</v>
      </c>
      <c r="S158">
        <v>79.489999999999995</v>
      </c>
      <c r="T158">
        <v>80.23</v>
      </c>
      <c r="U158" s="2">
        <f t="shared" si="9"/>
        <v>42370</v>
      </c>
      <c r="V158" t="str">
        <f t="shared" si="10"/>
        <v>Winter</v>
      </c>
    </row>
    <row r="159" spans="1:22" x14ac:dyDescent="0.35">
      <c r="A159">
        <v>2016</v>
      </c>
      <c r="B159">
        <v>2</v>
      </c>
      <c r="C159" t="str">
        <f t="shared" si="8"/>
        <v>Winter</v>
      </c>
      <c r="D159">
        <f>IF(G159 &gt;= Table4[[#Totals],[Pax]], 1, 0)</f>
        <v>0</v>
      </c>
      <c r="E159" s="1">
        <v>51111121</v>
      </c>
      <c r="F159" s="1">
        <v>7276912</v>
      </c>
      <c r="G159" s="1">
        <v>58388033</v>
      </c>
      <c r="H159" s="1">
        <f t="shared" si="11"/>
        <v>60694064</v>
      </c>
      <c r="I159" s="1">
        <v>612176</v>
      </c>
      <c r="J159" s="1">
        <v>65905</v>
      </c>
      <c r="K159" s="1">
        <v>678081</v>
      </c>
      <c r="L159" s="1">
        <v>46460173</v>
      </c>
      <c r="M159" s="1">
        <v>17857305</v>
      </c>
      <c r="N159" s="1">
        <v>64317478</v>
      </c>
      <c r="O159" s="1">
        <v>57466885</v>
      </c>
      <c r="P159" s="1">
        <v>24198863</v>
      </c>
      <c r="Q159" s="1">
        <v>81665748</v>
      </c>
      <c r="R159">
        <v>80.849999999999994</v>
      </c>
      <c r="S159">
        <v>73.790000000000006</v>
      </c>
      <c r="T159">
        <v>78.760000000000005</v>
      </c>
      <c r="U159" s="2">
        <f t="shared" si="9"/>
        <v>42401</v>
      </c>
      <c r="V159" t="str">
        <f t="shared" si="10"/>
        <v>Winter</v>
      </c>
    </row>
    <row r="160" spans="1:22" x14ac:dyDescent="0.35">
      <c r="A160">
        <v>2016</v>
      </c>
      <c r="B160">
        <v>3</v>
      </c>
      <c r="C160" t="str">
        <f t="shared" si="8"/>
        <v>Spring</v>
      </c>
      <c r="D160">
        <f>IF(G160 &gt;= Table4[[#Totals],[Pax]], 1, 0)</f>
        <v>1</v>
      </c>
      <c r="E160" s="1">
        <v>61592900</v>
      </c>
      <c r="F160" s="1">
        <v>8846249</v>
      </c>
      <c r="G160" s="1">
        <v>70439149</v>
      </c>
      <c r="H160" s="1">
        <f t="shared" si="11"/>
        <v>58388033</v>
      </c>
      <c r="I160" s="1">
        <v>697830</v>
      </c>
      <c r="J160" s="1">
        <v>74166</v>
      </c>
      <c r="K160" s="1">
        <v>771996</v>
      </c>
      <c r="L160" s="1">
        <v>56704006</v>
      </c>
      <c r="M160" s="1">
        <v>21722335</v>
      </c>
      <c r="N160" s="1">
        <v>78426341</v>
      </c>
      <c r="O160" s="1">
        <v>66469561</v>
      </c>
      <c r="P160" s="1">
        <v>27375245</v>
      </c>
      <c r="Q160" s="1">
        <v>93844807</v>
      </c>
      <c r="R160">
        <v>85.31</v>
      </c>
      <c r="S160">
        <v>79.349999999999994</v>
      </c>
      <c r="T160">
        <v>83.57</v>
      </c>
      <c r="U160" s="2">
        <f t="shared" si="9"/>
        <v>42430</v>
      </c>
      <c r="V160" t="str">
        <f t="shared" si="10"/>
        <v>Spring</v>
      </c>
    </row>
    <row r="161" spans="1:22" x14ac:dyDescent="0.35">
      <c r="A161">
        <v>2016</v>
      </c>
      <c r="B161">
        <v>4</v>
      </c>
      <c r="C161" t="str">
        <f t="shared" si="8"/>
        <v>Spring</v>
      </c>
      <c r="D161">
        <f>IF(G161 &gt;= Table4[[#Totals],[Pax]], 1, 0)</f>
        <v>1</v>
      </c>
      <c r="E161" s="1">
        <v>58893676</v>
      </c>
      <c r="F161" s="1">
        <v>8236909</v>
      </c>
      <c r="G161" s="1">
        <v>67130585</v>
      </c>
      <c r="H161" s="1">
        <f t="shared" si="11"/>
        <v>70439149</v>
      </c>
      <c r="I161" s="1">
        <v>675633</v>
      </c>
      <c r="J161" s="1">
        <v>71002</v>
      </c>
      <c r="K161" s="1">
        <v>746635</v>
      </c>
      <c r="L161" s="1">
        <v>53623641</v>
      </c>
      <c r="M161" s="1">
        <v>21272344</v>
      </c>
      <c r="N161" s="1">
        <v>74895985</v>
      </c>
      <c r="O161" s="1">
        <v>63775636</v>
      </c>
      <c r="P161" s="1">
        <v>27557124</v>
      </c>
      <c r="Q161" s="1">
        <v>91332760</v>
      </c>
      <c r="R161">
        <v>84.08</v>
      </c>
      <c r="S161">
        <v>77.19</v>
      </c>
      <c r="T161">
        <v>82</v>
      </c>
      <c r="U161" s="2">
        <f t="shared" si="9"/>
        <v>42461</v>
      </c>
      <c r="V161" t="str">
        <f t="shared" si="10"/>
        <v>Spring</v>
      </c>
    </row>
    <row r="162" spans="1:22" x14ac:dyDescent="0.35">
      <c r="A162">
        <v>2016</v>
      </c>
      <c r="B162">
        <v>5</v>
      </c>
      <c r="C162" t="str">
        <f t="shared" si="8"/>
        <v>Spring</v>
      </c>
      <c r="D162">
        <f>IF(G162 &gt;= Table4[[#Totals],[Pax]], 1, 0)</f>
        <v>1</v>
      </c>
      <c r="E162" s="1">
        <v>62752121</v>
      </c>
      <c r="F162" s="1">
        <v>8658474</v>
      </c>
      <c r="G162" s="1">
        <v>71410595</v>
      </c>
      <c r="H162" s="1">
        <f t="shared" si="11"/>
        <v>67130585</v>
      </c>
      <c r="I162" s="1">
        <v>702944</v>
      </c>
      <c r="J162" s="1">
        <v>72121</v>
      </c>
      <c r="K162" s="1">
        <v>775065</v>
      </c>
      <c r="L162" s="1">
        <v>57131517</v>
      </c>
      <c r="M162" s="1">
        <v>23417723</v>
      </c>
      <c r="N162" s="1">
        <v>80549240</v>
      </c>
      <c r="O162" s="1">
        <v>66545323</v>
      </c>
      <c r="P162" s="1">
        <v>29545223</v>
      </c>
      <c r="Q162" s="1">
        <v>96090546</v>
      </c>
      <c r="R162">
        <v>85.85</v>
      </c>
      <c r="S162">
        <v>79.260000000000005</v>
      </c>
      <c r="T162">
        <v>83.83</v>
      </c>
      <c r="U162" s="2">
        <f t="shared" si="9"/>
        <v>42491</v>
      </c>
      <c r="V162" t="str">
        <f t="shared" si="10"/>
        <v>Spring</v>
      </c>
    </row>
    <row r="163" spans="1:22" x14ac:dyDescent="0.35">
      <c r="A163">
        <v>2016</v>
      </c>
      <c r="B163">
        <v>6</v>
      </c>
      <c r="C163" t="str">
        <f t="shared" si="8"/>
        <v>Summer</v>
      </c>
      <c r="D163">
        <f>IF(G163 &gt;= Table4[[#Totals],[Pax]], 1, 0)</f>
        <v>1</v>
      </c>
      <c r="E163" s="1">
        <v>64757222</v>
      </c>
      <c r="F163" s="1">
        <v>9649641</v>
      </c>
      <c r="G163" s="1">
        <v>74406863</v>
      </c>
      <c r="H163" s="1">
        <f t="shared" si="11"/>
        <v>71410595</v>
      </c>
      <c r="I163" s="1">
        <v>713634</v>
      </c>
      <c r="J163" s="1">
        <v>75070</v>
      </c>
      <c r="K163" s="1">
        <v>788704</v>
      </c>
      <c r="L163" s="1">
        <v>60278319</v>
      </c>
      <c r="M163" s="1">
        <v>26042153</v>
      </c>
      <c r="N163" s="1">
        <v>86320472</v>
      </c>
      <c r="O163" s="1">
        <v>68799336</v>
      </c>
      <c r="P163" s="1">
        <v>30831533</v>
      </c>
      <c r="Q163" s="1">
        <v>99630870</v>
      </c>
      <c r="R163">
        <v>87.61</v>
      </c>
      <c r="S163">
        <v>84.47</v>
      </c>
      <c r="T163">
        <v>86.64</v>
      </c>
      <c r="U163" s="2">
        <f t="shared" si="9"/>
        <v>42522</v>
      </c>
      <c r="V163" t="str">
        <f t="shared" si="10"/>
        <v>Summer</v>
      </c>
    </row>
    <row r="164" spans="1:22" x14ac:dyDescent="0.35">
      <c r="A164">
        <v>2016</v>
      </c>
      <c r="B164">
        <v>7</v>
      </c>
      <c r="C164" t="str">
        <f t="shared" si="8"/>
        <v>Summer</v>
      </c>
      <c r="D164">
        <f>IF(G164 &gt;= Table4[[#Totals],[Pax]], 1, 0)</f>
        <v>1</v>
      </c>
      <c r="E164" s="1">
        <v>66134540</v>
      </c>
      <c r="F164" s="1">
        <v>10651750</v>
      </c>
      <c r="G164" s="1">
        <v>76786290</v>
      </c>
      <c r="H164" s="1">
        <f t="shared" si="11"/>
        <v>74406863</v>
      </c>
      <c r="I164" s="1">
        <v>731044</v>
      </c>
      <c r="J164" s="1">
        <v>78726</v>
      </c>
      <c r="K164" s="1">
        <v>809770</v>
      </c>
      <c r="L164" s="1">
        <v>62349210</v>
      </c>
      <c r="M164" s="1">
        <v>28079998</v>
      </c>
      <c r="N164" s="1">
        <v>90429208</v>
      </c>
      <c r="O164" s="1">
        <v>71524171</v>
      </c>
      <c r="P164" s="1">
        <v>32640788</v>
      </c>
      <c r="Q164" s="1">
        <v>104164959</v>
      </c>
      <c r="R164">
        <v>87.17</v>
      </c>
      <c r="S164">
        <v>86.03</v>
      </c>
      <c r="T164">
        <v>86.81</v>
      </c>
      <c r="U164" s="2">
        <f t="shared" si="9"/>
        <v>42552</v>
      </c>
      <c r="V164" t="str">
        <f t="shared" si="10"/>
        <v>Summer</v>
      </c>
    </row>
    <row r="165" spans="1:22" x14ac:dyDescent="0.35">
      <c r="A165">
        <v>2016</v>
      </c>
      <c r="B165">
        <v>8</v>
      </c>
      <c r="C165" t="str">
        <f t="shared" si="8"/>
        <v>Summer</v>
      </c>
      <c r="D165">
        <f>IF(G165 &gt;= Table4[[#Totals],[Pax]], 1, 0)</f>
        <v>1</v>
      </c>
      <c r="E165" s="1">
        <v>63498165</v>
      </c>
      <c r="F165" s="1">
        <v>9851036</v>
      </c>
      <c r="G165" s="1">
        <v>73349201</v>
      </c>
      <c r="H165" s="1">
        <f t="shared" si="11"/>
        <v>76786290</v>
      </c>
      <c r="I165" s="1">
        <v>731988</v>
      </c>
      <c r="J165" s="1">
        <v>74906</v>
      </c>
      <c r="K165" s="1">
        <v>806894</v>
      </c>
      <c r="L165" s="1">
        <v>59282098</v>
      </c>
      <c r="M165" s="1">
        <v>26662752</v>
      </c>
      <c r="N165" s="1">
        <v>85944849</v>
      </c>
      <c r="O165" s="1">
        <v>69971791</v>
      </c>
      <c r="P165" s="1">
        <v>31634549</v>
      </c>
      <c r="Q165" s="1">
        <v>101606340</v>
      </c>
      <c r="R165">
        <v>84.72</v>
      </c>
      <c r="S165">
        <v>84.28</v>
      </c>
      <c r="T165">
        <v>84.59</v>
      </c>
      <c r="U165" s="2">
        <f t="shared" si="9"/>
        <v>42583</v>
      </c>
      <c r="V165" t="str">
        <f t="shared" si="10"/>
        <v>Summer</v>
      </c>
    </row>
    <row r="166" spans="1:22" x14ac:dyDescent="0.35">
      <c r="A166">
        <v>2016</v>
      </c>
      <c r="B166">
        <v>9</v>
      </c>
      <c r="C166" t="str">
        <f t="shared" si="8"/>
        <v>Fall</v>
      </c>
      <c r="D166">
        <f>IF(G166 &gt;= Table4[[#Totals],[Pax]], 1, 0)</f>
        <v>1</v>
      </c>
      <c r="E166" s="1">
        <v>58619844</v>
      </c>
      <c r="F166" s="1">
        <v>7767077</v>
      </c>
      <c r="G166" s="1">
        <v>66386921</v>
      </c>
      <c r="H166" s="1">
        <f t="shared" si="11"/>
        <v>73349201</v>
      </c>
      <c r="I166" s="1">
        <v>673171</v>
      </c>
      <c r="J166" s="1">
        <v>62762</v>
      </c>
      <c r="K166" s="1">
        <v>735933</v>
      </c>
      <c r="L166" s="1">
        <v>52660625</v>
      </c>
      <c r="M166" s="1">
        <v>22480586</v>
      </c>
      <c r="N166" s="1">
        <v>75141211</v>
      </c>
      <c r="O166" s="1">
        <v>62507787</v>
      </c>
      <c r="P166" s="1">
        <v>27705349</v>
      </c>
      <c r="Q166" s="1">
        <v>90213136</v>
      </c>
      <c r="R166">
        <v>84.25</v>
      </c>
      <c r="S166">
        <v>81.14</v>
      </c>
      <c r="T166">
        <v>83.29</v>
      </c>
      <c r="U166" s="2">
        <f t="shared" si="9"/>
        <v>42614</v>
      </c>
      <c r="V166" t="str">
        <f t="shared" si="10"/>
        <v>Fall</v>
      </c>
    </row>
    <row r="167" spans="1:22" x14ac:dyDescent="0.35">
      <c r="A167">
        <v>2016</v>
      </c>
      <c r="B167">
        <v>10</v>
      </c>
      <c r="C167" t="str">
        <f t="shared" si="8"/>
        <v>Fall</v>
      </c>
      <c r="D167">
        <f>IF(G167 &gt;= Table4[[#Totals],[Pax]], 1, 0)</f>
        <v>1</v>
      </c>
      <c r="E167" s="1">
        <v>61708696</v>
      </c>
      <c r="F167" s="1">
        <v>7745955</v>
      </c>
      <c r="G167" s="1">
        <v>69454651</v>
      </c>
      <c r="H167" s="1">
        <f t="shared" si="11"/>
        <v>66386921</v>
      </c>
      <c r="I167" s="1">
        <v>688347</v>
      </c>
      <c r="J167" s="1">
        <v>63260</v>
      </c>
      <c r="K167" s="1">
        <v>751607</v>
      </c>
      <c r="L167" s="1">
        <v>55320059</v>
      </c>
      <c r="M167" s="1">
        <v>21775573</v>
      </c>
      <c r="N167" s="1">
        <v>77095632</v>
      </c>
      <c r="O167" s="1">
        <v>64769646</v>
      </c>
      <c r="P167" s="1">
        <v>27171641</v>
      </c>
      <c r="Q167" s="1">
        <v>91941286</v>
      </c>
      <c r="R167">
        <v>85.41</v>
      </c>
      <c r="S167">
        <v>80.14</v>
      </c>
      <c r="T167">
        <v>83.85</v>
      </c>
      <c r="U167" s="2">
        <f t="shared" si="9"/>
        <v>42644</v>
      </c>
      <c r="V167" t="str">
        <f t="shared" si="10"/>
        <v>Fall</v>
      </c>
    </row>
    <row r="168" spans="1:22" x14ac:dyDescent="0.35">
      <c r="A168">
        <v>2016</v>
      </c>
      <c r="B168">
        <v>11</v>
      </c>
      <c r="C168" t="str">
        <f t="shared" si="8"/>
        <v>Fall</v>
      </c>
      <c r="D168">
        <f>IF(G168 &gt;= Table4[[#Totals],[Pax]], 1, 0)</f>
        <v>1</v>
      </c>
      <c r="E168" s="1">
        <v>59269062</v>
      </c>
      <c r="F168" s="1">
        <v>7259192</v>
      </c>
      <c r="G168" s="1">
        <v>66528254</v>
      </c>
      <c r="H168" s="1">
        <f t="shared" si="11"/>
        <v>69454651</v>
      </c>
      <c r="I168" s="1">
        <v>658162</v>
      </c>
      <c r="J168" s="1">
        <v>61188</v>
      </c>
      <c r="K168" s="1">
        <v>719350</v>
      </c>
      <c r="L168" s="1">
        <v>53280610</v>
      </c>
      <c r="M168" s="1">
        <v>18805494</v>
      </c>
      <c r="N168" s="1">
        <v>72086104</v>
      </c>
      <c r="O168" s="1">
        <v>62885798</v>
      </c>
      <c r="P168" s="1">
        <v>23851439</v>
      </c>
      <c r="Q168" s="1">
        <v>86737237</v>
      </c>
      <c r="R168">
        <v>84.73</v>
      </c>
      <c r="S168">
        <v>78.84</v>
      </c>
      <c r="T168">
        <v>83.11</v>
      </c>
      <c r="U168" s="2">
        <f t="shared" si="9"/>
        <v>42675</v>
      </c>
      <c r="V168" t="str">
        <f t="shared" si="10"/>
        <v>Fall</v>
      </c>
    </row>
    <row r="169" spans="1:22" x14ac:dyDescent="0.35">
      <c r="A169">
        <v>2016</v>
      </c>
      <c r="B169">
        <v>12</v>
      </c>
      <c r="C169" t="str">
        <f t="shared" si="8"/>
        <v>Fall</v>
      </c>
      <c r="D169">
        <f>IF(G169 &gt;= Table4[[#Totals],[Pax]], 1, 0)</f>
        <v>1</v>
      </c>
      <c r="E169" s="1">
        <v>59178183</v>
      </c>
      <c r="F169" s="1">
        <v>8735834</v>
      </c>
      <c r="G169" s="1">
        <v>67914017</v>
      </c>
      <c r="H169" s="1">
        <f t="shared" si="11"/>
        <v>66528254</v>
      </c>
      <c r="I169" s="1">
        <v>662154</v>
      </c>
      <c r="J169" s="1">
        <v>72280</v>
      </c>
      <c r="K169" s="1">
        <v>734434</v>
      </c>
      <c r="L169" s="1">
        <v>54812269</v>
      </c>
      <c r="M169" s="1">
        <v>22001650</v>
      </c>
      <c r="N169" s="1">
        <v>76813919</v>
      </c>
      <c r="O169" s="1">
        <v>65698072</v>
      </c>
      <c r="P169" s="1">
        <v>27118317</v>
      </c>
      <c r="Q169" s="1">
        <v>92816388</v>
      </c>
      <c r="R169">
        <v>83.43</v>
      </c>
      <c r="S169">
        <v>81.13</v>
      </c>
      <c r="T169">
        <v>82.76</v>
      </c>
      <c r="U169" s="2">
        <f t="shared" si="9"/>
        <v>42705</v>
      </c>
      <c r="V169" t="str">
        <f t="shared" si="10"/>
        <v>Winter</v>
      </c>
    </row>
    <row r="170" spans="1:22" x14ac:dyDescent="0.35">
      <c r="A170">
        <v>2017</v>
      </c>
      <c r="B170">
        <v>1</v>
      </c>
      <c r="C170" t="str">
        <f t="shared" si="8"/>
        <v>Winter</v>
      </c>
      <c r="D170">
        <f>IF(G170 &gt;= Table4[[#Totals],[Pax]], 1, 0)</f>
        <v>0</v>
      </c>
      <c r="E170" s="1">
        <v>54108732</v>
      </c>
      <c r="F170" s="1">
        <v>8451833</v>
      </c>
      <c r="G170" s="1">
        <v>62560565</v>
      </c>
      <c r="H170" s="1">
        <f t="shared" si="11"/>
        <v>67914017</v>
      </c>
      <c r="I170" s="1">
        <v>645169</v>
      </c>
      <c r="J170" s="1">
        <v>71242</v>
      </c>
      <c r="K170" s="1">
        <v>716411</v>
      </c>
      <c r="L170" s="1">
        <v>50136641</v>
      </c>
      <c r="M170" s="1">
        <v>21167951</v>
      </c>
      <c r="N170" s="1">
        <v>71304592</v>
      </c>
      <c r="O170" s="1">
        <v>63084038</v>
      </c>
      <c r="P170" s="1">
        <v>26711252</v>
      </c>
      <c r="Q170" s="1">
        <v>89795289</v>
      </c>
      <c r="R170">
        <v>79.48</v>
      </c>
      <c r="S170">
        <v>79.25</v>
      </c>
      <c r="T170">
        <v>79.41</v>
      </c>
      <c r="U170" s="2">
        <f t="shared" si="9"/>
        <v>42736</v>
      </c>
      <c r="V170" t="str">
        <f t="shared" si="10"/>
        <v>Winter</v>
      </c>
    </row>
    <row r="171" spans="1:22" x14ac:dyDescent="0.35">
      <c r="A171">
        <v>2017</v>
      </c>
      <c r="B171">
        <v>2</v>
      </c>
      <c r="C171" t="str">
        <f t="shared" si="8"/>
        <v>Winter</v>
      </c>
      <c r="D171">
        <f>IF(G171 &gt;= Table4[[#Totals],[Pax]], 1, 0)</f>
        <v>0</v>
      </c>
      <c r="E171" s="1">
        <v>51077566</v>
      </c>
      <c r="F171" s="1">
        <v>7243348</v>
      </c>
      <c r="G171" s="1">
        <v>58320914</v>
      </c>
      <c r="H171" s="1">
        <f t="shared" si="11"/>
        <v>62560565</v>
      </c>
      <c r="I171" s="1">
        <v>592048</v>
      </c>
      <c r="J171" s="1">
        <v>63807</v>
      </c>
      <c r="K171" s="1">
        <v>655855</v>
      </c>
      <c r="L171" s="1">
        <v>46484888</v>
      </c>
      <c r="M171" s="1">
        <v>17661922</v>
      </c>
      <c r="N171" s="1">
        <v>64146810</v>
      </c>
      <c r="O171" s="1">
        <v>57436638</v>
      </c>
      <c r="P171" s="1">
        <v>23785528</v>
      </c>
      <c r="Q171" s="1">
        <v>81222166</v>
      </c>
      <c r="R171">
        <v>80.930000000000007</v>
      </c>
      <c r="S171">
        <v>74.25</v>
      </c>
      <c r="T171">
        <v>78.98</v>
      </c>
      <c r="U171" s="2">
        <f t="shared" si="9"/>
        <v>42767</v>
      </c>
      <c r="V171" t="str">
        <f t="shared" si="10"/>
        <v>Winter</v>
      </c>
    </row>
    <row r="172" spans="1:22" x14ac:dyDescent="0.35">
      <c r="A172">
        <v>2017</v>
      </c>
      <c r="B172">
        <v>3</v>
      </c>
      <c r="C172" t="str">
        <f t="shared" si="8"/>
        <v>Spring</v>
      </c>
      <c r="D172">
        <f>IF(G172 &gt;= Table4[[#Totals],[Pax]], 1, 0)</f>
        <v>1</v>
      </c>
      <c r="E172" s="1">
        <v>63963230</v>
      </c>
      <c r="F172" s="1">
        <v>8934658</v>
      </c>
      <c r="G172" s="1">
        <v>72897888</v>
      </c>
      <c r="H172" s="1">
        <f t="shared" si="11"/>
        <v>58320914</v>
      </c>
      <c r="I172" s="1">
        <v>696983</v>
      </c>
      <c r="J172" s="1">
        <v>73651</v>
      </c>
      <c r="K172" s="1">
        <v>770634</v>
      </c>
      <c r="L172" s="1">
        <v>58791439</v>
      </c>
      <c r="M172" s="1">
        <v>21913330</v>
      </c>
      <c r="N172" s="1">
        <v>80704768</v>
      </c>
      <c r="O172" s="1">
        <v>68737048</v>
      </c>
      <c r="P172" s="1">
        <v>27863556</v>
      </c>
      <c r="Q172" s="1">
        <v>96600605</v>
      </c>
      <c r="R172">
        <v>85.53</v>
      </c>
      <c r="S172">
        <v>78.650000000000006</v>
      </c>
      <c r="T172">
        <v>83.54</v>
      </c>
      <c r="U172" s="2">
        <f t="shared" si="9"/>
        <v>42795</v>
      </c>
      <c r="V172" t="str">
        <f t="shared" si="10"/>
        <v>Spring</v>
      </c>
    </row>
    <row r="173" spans="1:22" x14ac:dyDescent="0.35">
      <c r="A173">
        <v>2017</v>
      </c>
      <c r="B173">
        <v>4</v>
      </c>
      <c r="C173" t="str">
        <f t="shared" si="8"/>
        <v>Spring</v>
      </c>
      <c r="D173">
        <f>IF(G173 &gt;= Table4[[#Totals],[Pax]], 1, 0)</f>
        <v>1</v>
      </c>
      <c r="E173" s="1">
        <v>61098649</v>
      </c>
      <c r="F173" s="1">
        <v>9097723</v>
      </c>
      <c r="G173" s="1">
        <v>70196372</v>
      </c>
      <c r="H173" s="1">
        <f t="shared" si="11"/>
        <v>72897888</v>
      </c>
      <c r="I173" s="1">
        <v>673380</v>
      </c>
      <c r="J173" s="1">
        <v>72137</v>
      </c>
      <c r="K173" s="1">
        <v>745517</v>
      </c>
      <c r="L173" s="1">
        <v>56302475</v>
      </c>
      <c r="M173" s="1">
        <v>23057928</v>
      </c>
      <c r="N173" s="1">
        <v>79360403</v>
      </c>
      <c r="O173" s="1">
        <v>66075373</v>
      </c>
      <c r="P173" s="1">
        <v>28543219</v>
      </c>
      <c r="Q173" s="1">
        <v>94618593</v>
      </c>
      <c r="R173">
        <v>85.21</v>
      </c>
      <c r="S173">
        <v>80.78</v>
      </c>
      <c r="T173">
        <v>83.87</v>
      </c>
      <c r="U173" s="2">
        <f t="shared" si="9"/>
        <v>42826</v>
      </c>
      <c r="V173" t="str">
        <f t="shared" si="10"/>
        <v>Spring</v>
      </c>
    </row>
    <row r="174" spans="1:22" x14ac:dyDescent="0.35">
      <c r="A174">
        <v>2017</v>
      </c>
      <c r="B174">
        <v>5</v>
      </c>
      <c r="C174" t="str">
        <f t="shared" si="8"/>
        <v>Spring</v>
      </c>
      <c r="D174">
        <f>IF(G174 &gt;= Table4[[#Totals],[Pax]], 1, 0)</f>
        <v>1</v>
      </c>
      <c r="E174" s="1">
        <v>64442559</v>
      </c>
      <c r="F174" s="1">
        <v>9178905</v>
      </c>
      <c r="G174" s="1">
        <v>73621464</v>
      </c>
      <c r="H174" s="1">
        <f t="shared" si="11"/>
        <v>70196372</v>
      </c>
      <c r="I174" s="1">
        <v>706747</v>
      </c>
      <c r="J174" s="1">
        <v>72895</v>
      </c>
      <c r="K174" s="1">
        <v>779642</v>
      </c>
      <c r="L174" s="1">
        <v>59016272</v>
      </c>
      <c r="M174" s="1">
        <v>24399847</v>
      </c>
      <c r="N174" s="1">
        <v>83416119</v>
      </c>
      <c r="O174" s="1">
        <v>68835179</v>
      </c>
      <c r="P174" s="1">
        <v>30455251</v>
      </c>
      <c r="Q174" s="1">
        <v>99290430</v>
      </c>
      <c r="R174">
        <v>85.74</v>
      </c>
      <c r="S174">
        <v>80.12</v>
      </c>
      <c r="T174">
        <v>84.01</v>
      </c>
      <c r="U174" s="2">
        <f t="shared" si="9"/>
        <v>42856</v>
      </c>
      <c r="V174" t="str">
        <f t="shared" si="10"/>
        <v>Spring</v>
      </c>
    </row>
    <row r="175" spans="1:22" x14ac:dyDescent="0.35">
      <c r="A175">
        <v>2017</v>
      </c>
      <c r="B175">
        <v>6</v>
      </c>
      <c r="C175" t="str">
        <f t="shared" si="8"/>
        <v>Summer</v>
      </c>
      <c r="D175">
        <f>IF(G175 &gt;= Table4[[#Totals],[Pax]], 1, 0)</f>
        <v>1</v>
      </c>
      <c r="E175" s="1">
        <v>66746003</v>
      </c>
      <c r="F175" s="1">
        <v>10211356</v>
      </c>
      <c r="G175" s="1">
        <v>76957359</v>
      </c>
      <c r="H175" s="1">
        <f t="shared" si="11"/>
        <v>73621464</v>
      </c>
      <c r="I175" s="1">
        <v>718817</v>
      </c>
      <c r="J175" s="1">
        <v>76507</v>
      </c>
      <c r="K175" s="1">
        <v>795324</v>
      </c>
      <c r="L175" s="1">
        <v>62468942</v>
      </c>
      <c r="M175" s="1">
        <v>27079807</v>
      </c>
      <c r="N175" s="1">
        <v>89548749</v>
      </c>
      <c r="O175" s="1">
        <v>71663336</v>
      </c>
      <c r="P175" s="1">
        <v>31904900</v>
      </c>
      <c r="Q175" s="1">
        <v>103568236</v>
      </c>
      <c r="R175">
        <v>87.17</v>
      </c>
      <c r="S175">
        <v>84.88</v>
      </c>
      <c r="T175">
        <v>86.46</v>
      </c>
      <c r="U175" s="2">
        <f t="shared" si="9"/>
        <v>42887</v>
      </c>
      <c r="V175" t="str">
        <f t="shared" si="10"/>
        <v>Summer</v>
      </c>
    </row>
    <row r="176" spans="1:22" x14ac:dyDescent="0.35">
      <c r="A176">
        <v>2017</v>
      </c>
      <c r="B176">
        <v>7</v>
      </c>
      <c r="C176" t="str">
        <f t="shared" si="8"/>
        <v>Summer</v>
      </c>
      <c r="D176">
        <f>IF(G176 &gt;= Table4[[#Totals],[Pax]], 1, 0)</f>
        <v>1</v>
      </c>
      <c r="E176" s="1">
        <v>68574097</v>
      </c>
      <c r="F176" s="1">
        <v>11190376</v>
      </c>
      <c r="G176" s="1">
        <v>79764473</v>
      </c>
      <c r="H176" s="1">
        <f t="shared" si="11"/>
        <v>76957359</v>
      </c>
      <c r="I176" s="1">
        <v>739541</v>
      </c>
      <c r="J176" s="1">
        <v>81408</v>
      </c>
      <c r="K176" s="1">
        <v>820949</v>
      </c>
      <c r="L176" s="1">
        <v>65035199</v>
      </c>
      <c r="M176" s="1">
        <v>28958608</v>
      </c>
      <c r="N176" s="1">
        <v>93993807</v>
      </c>
      <c r="O176" s="1">
        <v>74806668</v>
      </c>
      <c r="P176" s="1">
        <v>33680646</v>
      </c>
      <c r="Q176" s="1">
        <v>108487314</v>
      </c>
      <c r="R176">
        <v>86.94</v>
      </c>
      <c r="S176">
        <v>85.98</v>
      </c>
      <c r="T176">
        <v>86.64</v>
      </c>
      <c r="U176" s="2">
        <f t="shared" si="9"/>
        <v>42917</v>
      </c>
      <c r="V176" t="str">
        <f t="shared" si="10"/>
        <v>Summer</v>
      </c>
    </row>
    <row r="177" spans="1:22" x14ac:dyDescent="0.35">
      <c r="A177">
        <v>2017</v>
      </c>
      <c r="B177">
        <v>8</v>
      </c>
      <c r="C177" t="str">
        <f t="shared" si="8"/>
        <v>Summer</v>
      </c>
      <c r="D177">
        <f>IF(G177 &gt;= Table4[[#Totals],[Pax]], 1, 0)</f>
        <v>1</v>
      </c>
      <c r="E177" s="1">
        <v>66663503</v>
      </c>
      <c r="F177" s="1">
        <v>10384018</v>
      </c>
      <c r="G177" s="1">
        <v>77047521</v>
      </c>
      <c r="H177" s="1">
        <f t="shared" si="11"/>
        <v>79764473</v>
      </c>
      <c r="I177" s="1">
        <v>735233</v>
      </c>
      <c r="J177" s="1">
        <v>75662</v>
      </c>
      <c r="K177" s="1">
        <v>810895</v>
      </c>
      <c r="L177" s="1">
        <v>62520253</v>
      </c>
      <c r="M177" s="1">
        <v>27802659</v>
      </c>
      <c r="N177" s="1">
        <v>90322912</v>
      </c>
      <c r="O177" s="1">
        <v>73231019</v>
      </c>
      <c r="P177" s="1">
        <v>32407563</v>
      </c>
      <c r="Q177" s="1">
        <v>105638582</v>
      </c>
      <c r="R177">
        <v>85.37</v>
      </c>
      <c r="S177">
        <v>85.79</v>
      </c>
      <c r="T177">
        <v>85.5</v>
      </c>
      <c r="U177" s="2">
        <f t="shared" si="9"/>
        <v>42948</v>
      </c>
      <c r="V177" t="str">
        <f t="shared" si="10"/>
        <v>Summer</v>
      </c>
    </row>
    <row r="178" spans="1:22" x14ac:dyDescent="0.35">
      <c r="A178">
        <v>2017</v>
      </c>
      <c r="B178">
        <v>9</v>
      </c>
      <c r="C178" t="str">
        <f t="shared" si="8"/>
        <v>Fall</v>
      </c>
      <c r="D178">
        <f>IF(G178 &gt;= Table4[[#Totals],[Pax]], 1, 0)</f>
        <v>1</v>
      </c>
      <c r="E178" s="1">
        <v>57143966</v>
      </c>
      <c r="F178" s="1">
        <v>7726792</v>
      </c>
      <c r="G178" s="1">
        <v>64870758</v>
      </c>
      <c r="H178" s="1">
        <f t="shared" si="11"/>
        <v>77047521</v>
      </c>
      <c r="I178" s="1">
        <v>652003</v>
      </c>
      <c r="J178" s="1">
        <v>60039</v>
      </c>
      <c r="K178" s="1">
        <v>712042</v>
      </c>
      <c r="L178" s="1">
        <v>51871547</v>
      </c>
      <c r="M178" s="1">
        <v>22667597</v>
      </c>
      <c r="N178" s="1">
        <v>74539144</v>
      </c>
      <c r="O178" s="1">
        <v>63120276</v>
      </c>
      <c r="P178" s="1">
        <v>28148004</v>
      </c>
      <c r="Q178" s="1">
        <v>91268280</v>
      </c>
      <c r="R178">
        <v>82.18</v>
      </c>
      <c r="S178">
        <v>80.53</v>
      </c>
      <c r="T178">
        <v>81.67</v>
      </c>
      <c r="U178" s="2">
        <f t="shared" si="9"/>
        <v>42979</v>
      </c>
      <c r="V178" t="str">
        <f t="shared" si="10"/>
        <v>Fall</v>
      </c>
    </row>
    <row r="179" spans="1:22" x14ac:dyDescent="0.35">
      <c r="A179">
        <v>2017</v>
      </c>
      <c r="B179">
        <v>10</v>
      </c>
      <c r="C179" t="str">
        <f t="shared" si="8"/>
        <v>Fall</v>
      </c>
      <c r="D179">
        <f>IF(G179 &gt;= Table4[[#Totals],[Pax]], 1, 0)</f>
        <v>1</v>
      </c>
      <c r="E179" s="1">
        <v>64624806</v>
      </c>
      <c r="F179" s="1">
        <v>8030539</v>
      </c>
      <c r="G179" s="1">
        <v>72655345</v>
      </c>
      <c r="H179" s="1">
        <f t="shared" si="11"/>
        <v>64870758</v>
      </c>
      <c r="I179" s="1">
        <v>691971</v>
      </c>
      <c r="J179" s="1">
        <v>64389</v>
      </c>
      <c r="K179" s="1">
        <v>756360</v>
      </c>
      <c r="L179" s="1">
        <v>58257900</v>
      </c>
      <c r="M179" s="1">
        <v>22261064</v>
      </c>
      <c r="N179" s="1">
        <v>80518965</v>
      </c>
      <c r="O179" s="1">
        <v>68007435</v>
      </c>
      <c r="P179" s="1">
        <v>28299580</v>
      </c>
      <c r="Q179" s="1">
        <v>96307015</v>
      </c>
      <c r="R179">
        <v>85.66</v>
      </c>
      <c r="S179">
        <v>78.66</v>
      </c>
      <c r="T179">
        <v>83.61</v>
      </c>
      <c r="U179" s="2">
        <f t="shared" si="9"/>
        <v>43009</v>
      </c>
      <c r="V179" t="str">
        <f t="shared" si="10"/>
        <v>Fall</v>
      </c>
    </row>
    <row r="180" spans="1:22" x14ac:dyDescent="0.35">
      <c r="A180">
        <v>2017</v>
      </c>
      <c r="B180">
        <v>11</v>
      </c>
      <c r="C180" t="str">
        <f t="shared" si="8"/>
        <v>Fall</v>
      </c>
      <c r="D180">
        <f>IF(G180 &gt;= Table4[[#Totals],[Pax]], 1, 0)</f>
        <v>1</v>
      </c>
      <c r="E180" s="1">
        <v>61911285</v>
      </c>
      <c r="F180" s="1">
        <v>7678861</v>
      </c>
      <c r="G180" s="1">
        <v>69590146</v>
      </c>
      <c r="H180" s="1">
        <f t="shared" si="11"/>
        <v>72655345</v>
      </c>
      <c r="I180" s="1">
        <v>656939</v>
      </c>
      <c r="J180" s="1">
        <v>62616</v>
      </c>
      <c r="K180" s="1">
        <v>719555</v>
      </c>
      <c r="L180" s="1">
        <v>55883966</v>
      </c>
      <c r="M180" s="1">
        <v>19680722</v>
      </c>
      <c r="N180" s="1">
        <v>75564688</v>
      </c>
      <c r="O180" s="1">
        <v>65149163</v>
      </c>
      <c r="P180" s="1">
        <v>25035612</v>
      </c>
      <c r="Q180" s="1">
        <v>90184775</v>
      </c>
      <c r="R180">
        <v>85.78</v>
      </c>
      <c r="S180">
        <v>78.61</v>
      </c>
      <c r="T180">
        <v>83.79</v>
      </c>
      <c r="U180" s="2">
        <f t="shared" si="9"/>
        <v>43040</v>
      </c>
      <c r="V180" t="str">
        <f t="shared" si="10"/>
        <v>Fall</v>
      </c>
    </row>
    <row r="181" spans="1:22" x14ac:dyDescent="0.35">
      <c r="A181">
        <v>2017</v>
      </c>
      <c r="B181">
        <v>12</v>
      </c>
      <c r="C181" t="str">
        <f t="shared" si="8"/>
        <v>Fall</v>
      </c>
      <c r="D181">
        <f>IF(G181 &gt;= Table4[[#Totals],[Pax]], 1, 0)</f>
        <v>1</v>
      </c>
      <c r="E181" s="1">
        <v>61373581</v>
      </c>
      <c r="F181" s="1">
        <v>8913285</v>
      </c>
      <c r="G181" s="1">
        <v>70286866</v>
      </c>
      <c r="H181" s="1">
        <f t="shared" si="11"/>
        <v>69590146</v>
      </c>
      <c r="I181" s="1">
        <v>667216</v>
      </c>
      <c r="J181" s="1">
        <v>71441</v>
      </c>
      <c r="K181" s="1">
        <v>738657</v>
      </c>
      <c r="L181" s="1">
        <v>56980320</v>
      </c>
      <c r="M181" s="1">
        <v>22548282</v>
      </c>
      <c r="N181" s="1">
        <v>79528602</v>
      </c>
      <c r="O181" s="1">
        <v>68235413</v>
      </c>
      <c r="P181" s="1">
        <v>27932831</v>
      </c>
      <c r="Q181" s="1">
        <v>96168244</v>
      </c>
      <c r="R181">
        <v>83.51</v>
      </c>
      <c r="S181">
        <v>80.72</v>
      </c>
      <c r="T181">
        <v>82.7</v>
      </c>
      <c r="U181" s="2">
        <f t="shared" si="9"/>
        <v>43070</v>
      </c>
      <c r="V181" t="str">
        <f t="shared" si="10"/>
        <v>Winter</v>
      </c>
    </row>
    <row r="182" spans="1:22" x14ac:dyDescent="0.35">
      <c r="A182">
        <v>2018</v>
      </c>
      <c r="B182">
        <v>1</v>
      </c>
      <c r="C182" t="str">
        <f t="shared" si="8"/>
        <v>Winter</v>
      </c>
      <c r="D182">
        <f>IF(G182 &gt;= Table4[[#Totals],[Pax]], 1, 0)</f>
        <v>1</v>
      </c>
      <c r="E182" s="1">
        <v>55829992</v>
      </c>
      <c r="F182" s="1">
        <v>8559733</v>
      </c>
      <c r="G182" s="1">
        <v>64389725</v>
      </c>
      <c r="H182" s="1">
        <f t="shared" si="11"/>
        <v>70286866</v>
      </c>
      <c r="I182" s="1">
        <v>653344</v>
      </c>
      <c r="J182" s="1">
        <v>69767</v>
      </c>
      <c r="K182" s="1">
        <v>723111</v>
      </c>
      <c r="L182" s="1">
        <v>51716868</v>
      </c>
      <c r="M182" s="1">
        <v>21549127</v>
      </c>
      <c r="N182" s="1">
        <v>73265996</v>
      </c>
      <c r="O182" s="1">
        <v>65566516</v>
      </c>
      <c r="P182" s="1">
        <v>27380828</v>
      </c>
      <c r="Q182" s="1">
        <v>92947344</v>
      </c>
      <c r="R182">
        <v>78.88</v>
      </c>
      <c r="S182">
        <v>78.7</v>
      </c>
      <c r="T182">
        <v>78.83</v>
      </c>
      <c r="U182" s="2">
        <f t="shared" si="9"/>
        <v>43101</v>
      </c>
      <c r="V182" t="str">
        <f t="shared" si="10"/>
        <v>Winter</v>
      </c>
    </row>
    <row r="183" spans="1:22" x14ac:dyDescent="0.35">
      <c r="A183">
        <v>2018</v>
      </c>
      <c r="B183">
        <v>2</v>
      </c>
      <c r="C183" t="str">
        <f t="shared" si="8"/>
        <v>Winter</v>
      </c>
      <c r="D183">
        <f>IF(G183 &gt;= Table4[[#Totals],[Pax]], 1, 0)</f>
        <v>0</v>
      </c>
      <c r="E183" s="1">
        <v>54077854</v>
      </c>
      <c r="F183" s="1">
        <v>7596937</v>
      </c>
      <c r="G183" s="1">
        <v>61674791</v>
      </c>
      <c r="H183" s="1">
        <f t="shared" si="11"/>
        <v>64389725</v>
      </c>
      <c r="I183" s="1">
        <v>600492</v>
      </c>
      <c r="J183" s="1">
        <v>63466</v>
      </c>
      <c r="K183" s="1">
        <v>663958</v>
      </c>
      <c r="L183" s="1">
        <v>49452398</v>
      </c>
      <c r="M183" s="1">
        <v>18674644</v>
      </c>
      <c r="N183" s="1">
        <v>68127042</v>
      </c>
      <c r="O183" s="1">
        <v>60464267</v>
      </c>
      <c r="P183" s="1">
        <v>24587642</v>
      </c>
      <c r="Q183" s="1">
        <v>85051909</v>
      </c>
      <c r="R183">
        <v>81.790000000000006</v>
      </c>
      <c r="S183">
        <v>75.95</v>
      </c>
      <c r="T183">
        <v>80.099999999999994</v>
      </c>
      <c r="U183" s="2">
        <f t="shared" si="9"/>
        <v>43132</v>
      </c>
      <c r="V183" t="str">
        <f t="shared" si="10"/>
        <v>Winter</v>
      </c>
    </row>
    <row r="184" spans="1:22" x14ac:dyDescent="0.35">
      <c r="A184">
        <v>2018</v>
      </c>
      <c r="B184">
        <v>3</v>
      </c>
      <c r="C184" t="str">
        <f t="shared" si="8"/>
        <v>Spring</v>
      </c>
      <c r="D184">
        <f>IF(G184 &gt;= Table4[[#Totals],[Pax]], 1, 0)</f>
        <v>1</v>
      </c>
      <c r="E184" s="1">
        <v>66643229</v>
      </c>
      <c r="F184" s="1">
        <v>9603829</v>
      </c>
      <c r="G184" s="1">
        <v>76247058</v>
      </c>
      <c r="H184" s="1">
        <f t="shared" si="11"/>
        <v>61674791</v>
      </c>
      <c r="I184" s="1">
        <v>698464</v>
      </c>
      <c r="J184" s="1">
        <v>74602</v>
      </c>
      <c r="K184" s="1">
        <v>773066</v>
      </c>
      <c r="L184" s="1">
        <v>61707206</v>
      </c>
      <c r="M184" s="1">
        <v>23793520</v>
      </c>
      <c r="N184" s="1">
        <v>85500726</v>
      </c>
      <c r="O184" s="1">
        <v>71674598</v>
      </c>
      <c r="P184" s="1">
        <v>28893311</v>
      </c>
      <c r="Q184" s="1">
        <v>100567909</v>
      </c>
      <c r="R184">
        <v>86.09</v>
      </c>
      <c r="S184">
        <v>82.35</v>
      </c>
      <c r="T184">
        <v>85.02</v>
      </c>
      <c r="U184" s="2">
        <f t="shared" si="9"/>
        <v>43160</v>
      </c>
      <c r="V184" t="str">
        <f t="shared" si="10"/>
        <v>Spring</v>
      </c>
    </row>
    <row r="185" spans="1:22" x14ac:dyDescent="0.35">
      <c r="A185">
        <v>2018</v>
      </c>
      <c r="B185">
        <v>4</v>
      </c>
      <c r="C185" t="str">
        <f t="shared" si="8"/>
        <v>Spring</v>
      </c>
      <c r="D185">
        <f>IF(G185 &gt;= Table4[[#Totals],[Pax]], 1, 0)</f>
        <v>1</v>
      </c>
      <c r="E185" s="1">
        <v>64556900</v>
      </c>
      <c r="F185" s="1">
        <v>9035586</v>
      </c>
      <c r="G185" s="1">
        <v>73592486</v>
      </c>
      <c r="H185" s="1">
        <f t="shared" si="11"/>
        <v>76247058</v>
      </c>
      <c r="I185" s="1">
        <v>695306</v>
      </c>
      <c r="J185" s="1">
        <v>72042</v>
      </c>
      <c r="K185" s="1">
        <v>767348</v>
      </c>
      <c r="L185" s="1">
        <v>59340837</v>
      </c>
      <c r="M185" s="1">
        <v>23106823</v>
      </c>
      <c r="N185" s="1">
        <v>82447659</v>
      </c>
      <c r="O185" s="1">
        <v>70357638</v>
      </c>
      <c r="P185" s="1">
        <v>29055033</v>
      </c>
      <c r="Q185" s="1">
        <v>99412671</v>
      </c>
      <c r="R185">
        <v>84.34</v>
      </c>
      <c r="S185">
        <v>79.53</v>
      </c>
      <c r="T185">
        <v>82.93</v>
      </c>
      <c r="U185" s="2">
        <f t="shared" si="9"/>
        <v>43191</v>
      </c>
      <c r="V185" t="str">
        <f t="shared" si="10"/>
        <v>Spring</v>
      </c>
    </row>
    <row r="186" spans="1:22" x14ac:dyDescent="0.35">
      <c r="A186">
        <v>2018</v>
      </c>
      <c r="B186">
        <v>5</v>
      </c>
      <c r="C186" t="str">
        <f t="shared" si="8"/>
        <v>Spring</v>
      </c>
      <c r="D186">
        <f>IF(G186 &gt;= Table4[[#Totals],[Pax]], 1, 0)</f>
        <v>1</v>
      </c>
      <c r="E186" s="1">
        <v>67844134</v>
      </c>
      <c r="F186" s="1">
        <v>9416071</v>
      </c>
      <c r="G186" s="1">
        <v>77260205</v>
      </c>
      <c r="H186" s="1">
        <f t="shared" si="11"/>
        <v>73592486</v>
      </c>
      <c r="I186" s="1">
        <v>724065</v>
      </c>
      <c r="J186" s="1">
        <v>73277</v>
      </c>
      <c r="K186" s="1">
        <v>797342</v>
      </c>
      <c r="L186" s="1">
        <v>62580568</v>
      </c>
      <c r="M186" s="1">
        <v>25356444</v>
      </c>
      <c r="N186" s="1">
        <v>87937012</v>
      </c>
      <c r="O186" s="1">
        <v>73310971</v>
      </c>
      <c r="P186" s="1">
        <v>31133051</v>
      </c>
      <c r="Q186" s="1">
        <v>104444022</v>
      </c>
      <c r="R186">
        <v>85.36</v>
      </c>
      <c r="S186">
        <v>81.45</v>
      </c>
      <c r="T186">
        <v>84.2</v>
      </c>
      <c r="U186" s="2">
        <f t="shared" si="9"/>
        <v>43221</v>
      </c>
      <c r="V186" t="str">
        <f t="shared" si="10"/>
        <v>Spring</v>
      </c>
    </row>
    <row r="187" spans="1:22" x14ac:dyDescent="0.35">
      <c r="A187">
        <v>2018</v>
      </c>
      <c r="B187">
        <v>6</v>
      </c>
      <c r="C187" t="str">
        <f t="shared" si="8"/>
        <v>Summer</v>
      </c>
      <c r="D187">
        <f>IF(G187 &gt;= Table4[[#Totals],[Pax]], 1, 0)</f>
        <v>1</v>
      </c>
      <c r="E187" s="1">
        <v>70277734</v>
      </c>
      <c r="F187" s="1">
        <v>10569323</v>
      </c>
      <c r="G187" s="1">
        <v>80847057</v>
      </c>
      <c r="H187" s="1">
        <f t="shared" si="11"/>
        <v>77260205</v>
      </c>
      <c r="I187" s="1">
        <v>732292</v>
      </c>
      <c r="J187" s="1">
        <v>77394</v>
      </c>
      <c r="K187" s="1">
        <v>809686</v>
      </c>
      <c r="L187" s="1">
        <v>66095829</v>
      </c>
      <c r="M187" s="1">
        <v>28194872</v>
      </c>
      <c r="N187" s="1">
        <v>94290701</v>
      </c>
      <c r="O187" s="1">
        <v>75323742</v>
      </c>
      <c r="P187" s="1">
        <v>32486010</v>
      </c>
      <c r="Q187" s="1">
        <v>107809753</v>
      </c>
      <c r="R187">
        <v>87.75</v>
      </c>
      <c r="S187">
        <v>86.79</v>
      </c>
      <c r="T187">
        <v>87.46</v>
      </c>
      <c r="U187" s="2">
        <f t="shared" si="9"/>
        <v>43252</v>
      </c>
      <c r="V187" t="str">
        <f t="shared" si="10"/>
        <v>Summer</v>
      </c>
    </row>
    <row r="188" spans="1:22" x14ac:dyDescent="0.35">
      <c r="A188">
        <v>2018</v>
      </c>
      <c r="B188">
        <v>7</v>
      </c>
      <c r="C188" t="str">
        <f t="shared" si="8"/>
        <v>Summer</v>
      </c>
      <c r="D188">
        <f>IF(G188 &gt;= Table4[[#Totals],[Pax]], 1, 0)</f>
        <v>1</v>
      </c>
      <c r="E188" s="1">
        <v>72539780</v>
      </c>
      <c r="F188" s="1">
        <v>11391458</v>
      </c>
      <c r="G188" s="1">
        <v>83931238</v>
      </c>
      <c r="H188" s="1">
        <f t="shared" si="11"/>
        <v>80847057</v>
      </c>
      <c r="I188" s="1">
        <v>759879</v>
      </c>
      <c r="J188" s="1">
        <v>81620</v>
      </c>
      <c r="K188" s="1">
        <v>841499</v>
      </c>
      <c r="L188" s="1">
        <v>69091745</v>
      </c>
      <c r="M188" s="1">
        <v>29716690</v>
      </c>
      <c r="N188" s="1">
        <v>98808435</v>
      </c>
      <c r="O188" s="1">
        <v>78406927</v>
      </c>
      <c r="P188" s="1">
        <v>34171666</v>
      </c>
      <c r="Q188" s="1">
        <v>112578593</v>
      </c>
      <c r="R188">
        <v>88.12</v>
      </c>
      <c r="S188">
        <v>86.96</v>
      </c>
      <c r="T188">
        <v>87.77</v>
      </c>
      <c r="U188" s="2">
        <f t="shared" si="9"/>
        <v>43282</v>
      </c>
      <c r="V188" t="str">
        <f t="shared" si="10"/>
        <v>Summer</v>
      </c>
    </row>
    <row r="189" spans="1:22" x14ac:dyDescent="0.35">
      <c r="A189">
        <v>2018</v>
      </c>
      <c r="B189">
        <v>8</v>
      </c>
      <c r="C189" t="str">
        <f t="shared" si="8"/>
        <v>Summer</v>
      </c>
      <c r="D189">
        <f>IF(G189 &gt;= Table4[[#Totals],[Pax]], 1, 0)</f>
        <v>1</v>
      </c>
      <c r="E189" s="1">
        <v>70337936</v>
      </c>
      <c r="F189" s="1">
        <v>10624720</v>
      </c>
      <c r="G189" s="1">
        <v>80962656</v>
      </c>
      <c r="H189" s="1">
        <f t="shared" si="11"/>
        <v>83931238</v>
      </c>
      <c r="I189" s="1">
        <v>756345</v>
      </c>
      <c r="J189" s="1">
        <v>77086</v>
      </c>
      <c r="K189" s="1">
        <v>833431</v>
      </c>
      <c r="L189" s="1">
        <v>66132022</v>
      </c>
      <c r="M189" s="1">
        <v>28638849</v>
      </c>
      <c r="N189" s="1">
        <v>94770872</v>
      </c>
      <c r="O189" s="1">
        <v>76722785</v>
      </c>
      <c r="P189" s="1">
        <v>33238079</v>
      </c>
      <c r="Q189" s="1">
        <v>109960864</v>
      </c>
      <c r="R189">
        <v>86.2</v>
      </c>
      <c r="S189">
        <v>86.16</v>
      </c>
      <c r="T189">
        <v>86.19</v>
      </c>
      <c r="U189" s="2">
        <f t="shared" si="9"/>
        <v>43313</v>
      </c>
      <c r="V189" t="str">
        <f t="shared" si="10"/>
        <v>Summer</v>
      </c>
    </row>
    <row r="190" spans="1:22" x14ac:dyDescent="0.35">
      <c r="A190">
        <v>2018</v>
      </c>
      <c r="B190">
        <v>9</v>
      </c>
      <c r="C190" t="str">
        <f t="shared" si="8"/>
        <v>Fall</v>
      </c>
      <c r="D190">
        <f>IF(G190 &gt;= Table4[[#Totals],[Pax]], 1, 0)</f>
        <v>1</v>
      </c>
      <c r="E190" s="1">
        <v>60468115</v>
      </c>
      <c r="F190" s="1">
        <v>8208432</v>
      </c>
      <c r="G190" s="1">
        <v>68676547</v>
      </c>
      <c r="H190" s="1">
        <f t="shared" si="11"/>
        <v>80962656</v>
      </c>
      <c r="I190" s="1">
        <v>686422</v>
      </c>
      <c r="J190" s="1">
        <v>65032</v>
      </c>
      <c r="K190" s="1">
        <v>751454</v>
      </c>
      <c r="L190" s="1">
        <v>55431352</v>
      </c>
      <c r="M190" s="1">
        <v>23604682</v>
      </c>
      <c r="N190" s="1">
        <v>79036033</v>
      </c>
      <c r="O190" s="1">
        <v>68530468</v>
      </c>
      <c r="P190" s="1">
        <v>29479449</v>
      </c>
      <c r="Q190" s="1">
        <v>98009918</v>
      </c>
      <c r="R190">
        <v>80.89</v>
      </c>
      <c r="S190">
        <v>80.069999999999993</v>
      </c>
      <c r="T190">
        <v>80.64</v>
      </c>
      <c r="U190" s="2">
        <f t="shared" si="9"/>
        <v>43344</v>
      </c>
      <c r="V190" t="str">
        <f t="shared" si="10"/>
        <v>Fall</v>
      </c>
    </row>
    <row r="191" spans="1:22" x14ac:dyDescent="0.35">
      <c r="A191">
        <v>2018</v>
      </c>
      <c r="B191">
        <v>10</v>
      </c>
      <c r="C191" t="str">
        <f t="shared" si="8"/>
        <v>Fall</v>
      </c>
      <c r="D191">
        <f>IF(G191 &gt;= Table4[[#Totals],[Pax]], 1, 0)</f>
        <v>1</v>
      </c>
      <c r="E191" s="1">
        <v>67081594</v>
      </c>
      <c r="F191" s="1">
        <v>8399032</v>
      </c>
      <c r="G191" s="1">
        <v>75480626</v>
      </c>
      <c r="H191" s="1">
        <f t="shared" si="11"/>
        <v>68676547</v>
      </c>
      <c r="I191" s="1">
        <v>722634</v>
      </c>
      <c r="J191" s="1">
        <v>66557</v>
      </c>
      <c r="K191" s="1">
        <v>789191</v>
      </c>
      <c r="L191" s="1">
        <v>61011629</v>
      </c>
      <c r="M191" s="1">
        <v>23294709</v>
      </c>
      <c r="N191" s="1">
        <v>84306338</v>
      </c>
      <c r="O191" s="1">
        <v>72044924</v>
      </c>
      <c r="P191" s="1">
        <v>29079416</v>
      </c>
      <c r="Q191" s="1">
        <v>101124339</v>
      </c>
      <c r="R191">
        <v>84.69</v>
      </c>
      <c r="S191">
        <v>80.11</v>
      </c>
      <c r="T191">
        <v>83.37</v>
      </c>
      <c r="U191" s="2">
        <f t="shared" si="9"/>
        <v>43374</v>
      </c>
      <c r="V191" t="str">
        <f t="shared" si="10"/>
        <v>Fall</v>
      </c>
    </row>
    <row r="192" spans="1:22" x14ac:dyDescent="0.35">
      <c r="A192">
        <v>2018</v>
      </c>
      <c r="B192">
        <v>11</v>
      </c>
      <c r="C192" t="str">
        <f t="shared" si="8"/>
        <v>Fall</v>
      </c>
      <c r="D192">
        <f>IF(G192 &gt;= Table4[[#Totals],[Pax]], 1, 0)</f>
        <v>1</v>
      </c>
      <c r="E192" s="1">
        <v>64659493</v>
      </c>
      <c r="F192" s="1">
        <v>8052683</v>
      </c>
      <c r="G192" s="1">
        <v>72712176</v>
      </c>
      <c r="H192" s="1">
        <f t="shared" si="11"/>
        <v>75480626</v>
      </c>
      <c r="I192" s="1">
        <v>678121</v>
      </c>
      <c r="J192" s="1">
        <v>64528</v>
      </c>
      <c r="K192" s="1">
        <v>742649</v>
      </c>
      <c r="L192" s="1">
        <v>58779361</v>
      </c>
      <c r="M192" s="1">
        <v>20613643</v>
      </c>
      <c r="N192" s="1">
        <v>79393004</v>
      </c>
      <c r="O192" s="1">
        <v>69098147</v>
      </c>
      <c r="P192" s="1">
        <v>25689087</v>
      </c>
      <c r="Q192" s="1">
        <v>94787234</v>
      </c>
      <c r="R192">
        <v>85.07</v>
      </c>
      <c r="S192">
        <v>80.239999999999995</v>
      </c>
      <c r="T192">
        <v>83.76</v>
      </c>
      <c r="U192" s="2">
        <f t="shared" si="9"/>
        <v>43405</v>
      </c>
      <c r="V192" t="str">
        <f t="shared" si="10"/>
        <v>Fall</v>
      </c>
    </row>
    <row r="193" spans="1:22" x14ac:dyDescent="0.35">
      <c r="A193">
        <v>2018</v>
      </c>
      <c r="B193">
        <v>12</v>
      </c>
      <c r="C193" t="str">
        <f t="shared" si="8"/>
        <v>Fall</v>
      </c>
      <c r="D193">
        <f>IF(G193 &gt;= Table4[[#Totals],[Pax]], 1, 0)</f>
        <v>1</v>
      </c>
      <c r="E193" s="1">
        <v>63646119</v>
      </c>
      <c r="F193" s="1">
        <v>9209221</v>
      </c>
      <c r="G193" s="1">
        <v>72855340</v>
      </c>
      <c r="H193" s="1">
        <f t="shared" si="11"/>
        <v>72712176</v>
      </c>
      <c r="I193" s="1">
        <v>691040</v>
      </c>
      <c r="J193" s="1">
        <v>73025</v>
      </c>
      <c r="K193" s="1">
        <v>764065</v>
      </c>
      <c r="L193" s="1">
        <v>59477976</v>
      </c>
      <c r="M193" s="1">
        <v>23210813</v>
      </c>
      <c r="N193" s="1">
        <v>82688789</v>
      </c>
      <c r="O193" s="1">
        <v>71865604</v>
      </c>
      <c r="P193" s="1">
        <v>28476318</v>
      </c>
      <c r="Q193" s="1">
        <v>100341922</v>
      </c>
      <c r="R193">
        <v>82.76</v>
      </c>
      <c r="S193">
        <v>81.510000000000005</v>
      </c>
      <c r="T193">
        <v>82.41</v>
      </c>
      <c r="U193" s="2">
        <f t="shared" si="9"/>
        <v>43435</v>
      </c>
      <c r="V193" t="str">
        <f t="shared" si="10"/>
        <v>Winter</v>
      </c>
    </row>
    <row r="194" spans="1:22" x14ac:dyDescent="0.35">
      <c r="A194">
        <v>2019</v>
      </c>
      <c r="B194">
        <v>1</v>
      </c>
      <c r="C194" t="str">
        <f t="shared" ref="C194:C257" si="12">IF(B194&lt;=2,"Winter",
 IF(B194&lt;=5,"Spring",
 IF(B194&lt;=8,"Summer","Fall")))</f>
        <v>Winter</v>
      </c>
      <c r="D194">
        <f>IF(G194 &gt;= Table4[[#Totals],[Pax]], 1, 0)</f>
        <v>1</v>
      </c>
      <c r="E194" s="1">
        <v>58033637</v>
      </c>
      <c r="F194" s="1">
        <v>8956997</v>
      </c>
      <c r="G194" s="1">
        <v>66990634</v>
      </c>
      <c r="H194" s="1">
        <f t="shared" si="11"/>
        <v>72855340</v>
      </c>
      <c r="I194" s="1">
        <v>667538</v>
      </c>
      <c r="J194" s="1">
        <v>72265</v>
      </c>
      <c r="K194" s="1">
        <v>739803</v>
      </c>
      <c r="L194" s="1">
        <v>54357953</v>
      </c>
      <c r="M194" s="1">
        <v>22507073</v>
      </c>
      <c r="N194" s="1">
        <v>76865026</v>
      </c>
      <c r="O194" s="1">
        <v>68754679</v>
      </c>
      <c r="P194" s="1">
        <v>28148681</v>
      </c>
      <c r="Q194" s="1">
        <v>96903359</v>
      </c>
      <c r="R194">
        <v>79.06</v>
      </c>
      <c r="S194">
        <v>79.959999999999994</v>
      </c>
      <c r="T194">
        <v>79.319999999999993</v>
      </c>
      <c r="U194" s="2">
        <f t="shared" si="9"/>
        <v>43466</v>
      </c>
      <c r="V194" t="str">
        <f t="shared" si="10"/>
        <v>Winter</v>
      </c>
    </row>
    <row r="195" spans="1:22" x14ac:dyDescent="0.35">
      <c r="A195">
        <v>2019</v>
      </c>
      <c r="B195">
        <v>2</v>
      </c>
      <c r="C195" t="str">
        <f t="shared" si="12"/>
        <v>Winter</v>
      </c>
      <c r="D195">
        <f>IF(G195 &gt;= Table4[[#Totals],[Pax]], 1, 0)</f>
        <v>1</v>
      </c>
      <c r="E195" s="1">
        <v>55679100</v>
      </c>
      <c r="F195" s="1">
        <v>7872131</v>
      </c>
      <c r="G195" s="1">
        <v>63551231</v>
      </c>
      <c r="H195" s="1">
        <f t="shared" si="11"/>
        <v>66990634</v>
      </c>
      <c r="I195" s="1">
        <v>607916</v>
      </c>
      <c r="J195" s="1">
        <v>65171</v>
      </c>
      <c r="K195" s="1">
        <v>673087</v>
      </c>
      <c r="L195" s="1">
        <v>51406118</v>
      </c>
      <c r="M195" s="1">
        <v>19291164</v>
      </c>
      <c r="N195" s="1">
        <v>70697283</v>
      </c>
      <c r="O195" s="1">
        <v>62805310</v>
      </c>
      <c r="P195" s="1">
        <v>25032799</v>
      </c>
      <c r="Q195" s="1">
        <v>87838108</v>
      </c>
      <c r="R195">
        <v>81.849999999999994</v>
      </c>
      <c r="S195">
        <v>77.06</v>
      </c>
      <c r="T195">
        <v>80.489999999999995</v>
      </c>
      <c r="U195" s="2">
        <f t="shared" ref="U195:U250" si="13">DATE(A195, B195, 1)</f>
        <v>43497</v>
      </c>
      <c r="V195" t="str">
        <f t="shared" ref="V195:V250" si="14">IF(OR(B195=12,B195=1,B195=2),"Winter",
IF(OR(B195=3,B195=4,B195=5),"Spring",
IF(OR(B195=6,B195=7,B195=8),"Summer","Fall")))</f>
        <v>Winter</v>
      </c>
    </row>
    <row r="196" spans="1:22" x14ac:dyDescent="0.35">
      <c r="A196">
        <v>2019</v>
      </c>
      <c r="B196">
        <v>3</v>
      </c>
      <c r="C196" t="str">
        <f t="shared" si="12"/>
        <v>Spring</v>
      </c>
      <c r="D196">
        <f>IF(G196 &gt;= Table4[[#Totals],[Pax]], 1, 0)</f>
        <v>1</v>
      </c>
      <c r="E196" s="1">
        <v>70233456</v>
      </c>
      <c r="F196" s="1">
        <v>9948135</v>
      </c>
      <c r="G196" s="1">
        <v>80181591</v>
      </c>
      <c r="H196" s="1">
        <f t="shared" ref="H196:H250" si="15">G195</f>
        <v>63551231</v>
      </c>
      <c r="I196" s="1">
        <v>729115</v>
      </c>
      <c r="J196" s="1">
        <v>77118</v>
      </c>
      <c r="K196" s="1">
        <v>806233</v>
      </c>
      <c r="L196" s="1">
        <v>65407750</v>
      </c>
      <c r="M196" s="1">
        <v>24488323</v>
      </c>
      <c r="N196" s="1">
        <v>89896073</v>
      </c>
      <c r="O196" s="1">
        <v>75651233</v>
      </c>
      <c r="P196" s="1">
        <v>29501782</v>
      </c>
      <c r="Q196" s="1">
        <v>105153015</v>
      </c>
      <c r="R196">
        <v>86.46</v>
      </c>
      <c r="S196">
        <v>83.01</v>
      </c>
      <c r="T196">
        <v>85.49</v>
      </c>
      <c r="U196" s="2">
        <f t="shared" si="13"/>
        <v>43525</v>
      </c>
      <c r="V196" t="str">
        <f t="shared" si="14"/>
        <v>Spring</v>
      </c>
    </row>
    <row r="197" spans="1:22" x14ac:dyDescent="0.35">
      <c r="A197">
        <v>2019</v>
      </c>
      <c r="B197">
        <v>4</v>
      </c>
      <c r="C197" t="str">
        <f t="shared" si="12"/>
        <v>Spring</v>
      </c>
      <c r="D197">
        <f>IF(G197 &gt;= Table4[[#Totals],[Pax]], 1, 0)</f>
        <v>1</v>
      </c>
      <c r="E197" s="1">
        <v>66938177</v>
      </c>
      <c r="F197" s="1">
        <v>9461086</v>
      </c>
      <c r="G197" s="1">
        <v>76399263</v>
      </c>
      <c r="H197" s="1">
        <f t="shared" si="15"/>
        <v>80181591</v>
      </c>
      <c r="I197" s="1">
        <v>708988</v>
      </c>
      <c r="J197" s="1">
        <v>72813</v>
      </c>
      <c r="K197" s="1">
        <v>781801</v>
      </c>
      <c r="L197" s="1">
        <v>61953253</v>
      </c>
      <c r="M197" s="1">
        <v>24174894</v>
      </c>
      <c r="N197" s="1">
        <v>86128147</v>
      </c>
      <c r="O197" s="1">
        <v>72335243</v>
      </c>
      <c r="P197" s="1">
        <v>29424979</v>
      </c>
      <c r="Q197" s="1">
        <v>101760222</v>
      </c>
      <c r="R197">
        <v>85.65</v>
      </c>
      <c r="S197">
        <v>82.16</v>
      </c>
      <c r="T197">
        <v>84.64</v>
      </c>
      <c r="U197" s="2">
        <f t="shared" si="13"/>
        <v>43556</v>
      </c>
      <c r="V197" t="str">
        <f t="shared" si="14"/>
        <v>Spring</v>
      </c>
    </row>
    <row r="198" spans="1:22" x14ac:dyDescent="0.35">
      <c r="A198">
        <v>2019</v>
      </c>
      <c r="B198">
        <v>5</v>
      </c>
      <c r="C198" t="str">
        <f t="shared" si="12"/>
        <v>Spring</v>
      </c>
      <c r="D198">
        <f>IF(G198 &gt;= Table4[[#Totals],[Pax]], 1, 0)</f>
        <v>1</v>
      </c>
      <c r="E198" s="1">
        <v>71363514</v>
      </c>
      <c r="F198" s="1">
        <v>9952955</v>
      </c>
      <c r="G198" s="1">
        <v>81316469</v>
      </c>
      <c r="H198" s="1">
        <f t="shared" si="15"/>
        <v>76399263</v>
      </c>
      <c r="I198" s="1">
        <v>740482</v>
      </c>
      <c r="J198" s="1">
        <v>74788</v>
      </c>
      <c r="K198" s="1">
        <v>815270</v>
      </c>
      <c r="L198" s="1">
        <v>65811129</v>
      </c>
      <c r="M198" s="1">
        <v>26667148</v>
      </c>
      <c r="N198" s="1">
        <v>92478276</v>
      </c>
      <c r="O198" s="1">
        <v>75386003</v>
      </c>
      <c r="P198" s="1">
        <v>31953392</v>
      </c>
      <c r="Q198" s="1">
        <v>107339395</v>
      </c>
      <c r="R198">
        <v>87.3</v>
      </c>
      <c r="S198">
        <v>83.46</v>
      </c>
      <c r="T198">
        <v>86.16</v>
      </c>
      <c r="U198" s="2">
        <f t="shared" si="13"/>
        <v>43586</v>
      </c>
      <c r="V198" t="str">
        <f t="shared" si="14"/>
        <v>Spring</v>
      </c>
    </row>
    <row r="199" spans="1:22" x14ac:dyDescent="0.35">
      <c r="A199">
        <v>2019</v>
      </c>
      <c r="B199">
        <v>6</v>
      </c>
      <c r="C199" t="str">
        <f t="shared" si="12"/>
        <v>Summer</v>
      </c>
      <c r="D199">
        <f>IF(G199 &gt;= Table4[[#Totals],[Pax]], 1, 0)</f>
        <v>1</v>
      </c>
      <c r="E199" s="1">
        <v>72789897</v>
      </c>
      <c r="F199" s="1">
        <v>11018680</v>
      </c>
      <c r="G199" s="1">
        <v>83808577</v>
      </c>
      <c r="H199" s="1">
        <f t="shared" si="15"/>
        <v>81316469</v>
      </c>
      <c r="I199" s="1">
        <v>741462</v>
      </c>
      <c r="J199" s="1">
        <v>79201</v>
      </c>
      <c r="K199" s="1">
        <v>820663</v>
      </c>
      <c r="L199" s="1">
        <v>68413114</v>
      </c>
      <c r="M199" s="1">
        <v>29322269</v>
      </c>
      <c r="N199" s="1">
        <v>97735383</v>
      </c>
      <c r="O199" s="1">
        <v>76617119</v>
      </c>
      <c r="P199" s="1">
        <v>33392864</v>
      </c>
      <c r="Q199" s="1">
        <v>110009983</v>
      </c>
      <c r="R199">
        <v>89.29</v>
      </c>
      <c r="S199">
        <v>87.81</v>
      </c>
      <c r="T199">
        <v>88.84</v>
      </c>
      <c r="U199" s="2">
        <f t="shared" si="13"/>
        <v>43617</v>
      </c>
      <c r="V199" t="str">
        <f t="shared" si="14"/>
        <v>Summer</v>
      </c>
    </row>
    <row r="200" spans="1:22" x14ac:dyDescent="0.35">
      <c r="A200">
        <v>2019</v>
      </c>
      <c r="B200">
        <v>7</v>
      </c>
      <c r="C200" t="str">
        <f t="shared" si="12"/>
        <v>Summer</v>
      </c>
      <c r="D200">
        <f>IF(G200 &gt;= Table4[[#Totals],[Pax]], 1, 0)</f>
        <v>1</v>
      </c>
      <c r="E200" s="1">
        <v>75281255</v>
      </c>
      <c r="F200" s="1">
        <v>11644596</v>
      </c>
      <c r="G200" s="1">
        <v>86925851</v>
      </c>
      <c r="H200" s="1">
        <f t="shared" si="15"/>
        <v>83808577</v>
      </c>
      <c r="I200" s="1">
        <v>768645</v>
      </c>
      <c r="J200" s="1">
        <v>82681</v>
      </c>
      <c r="K200" s="1">
        <v>851326</v>
      </c>
      <c r="L200" s="1">
        <v>71276327</v>
      </c>
      <c r="M200" s="1">
        <v>30447264</v>
      </c>
      <c r="N200" s="1">
        <v>101723592</v>
      </c>
      <c r="O200" s="1">
        <v>80081319</v>
      </c>
      <c r="P200" s="1">
        <v>34751863</v>
      </c>
      <c r="Q200" s="1">
        <v>114833182</v>
      </c>
      <c r="R200">
        <v>89</v>
      </c>
      <c r="S200">
        <v>87.61</v>
      </c>
      <c r="T200">
        <v>88.58</v>
      </c>
      <c r="U200" s="2">
        <f t="shared" si="13"/>
        <v>43647</v>
      </c>
      <c r="V200" t="str">
        <f t="shared" si="14"/>
        <v>Summer</v>
      </c>
    </row>
    <row r="201" spans="1:22" x14ac:dyDescent="0.35">
      <c r="A201">
        <v>2019</v>
      </c>
      <c r="B201">
        <v>8</v>
      </c>
      <c r="C201" t="str">
        <f t="shared" si="12"/>
        <v>Summer</v>
      </c>
      <c r="D201">
        <f>IF(G201 &gt;= Table4[[#Totals],[Pax]], 1, 0)</f>
        <v>1</v>
      </c>
      <c r="E201" s="1">
        <v>72715566</v>
      </c>
      <c r="F201" s="1">
        <v>11035622</v>
      </c>
      <c r="G201" s="1">
        <v>83751188</v>
      </c>
      <c r="H201" s="1">
        <f t="shared" si="15"/>
        <v>86925851</v>
      </c>
      <c r="I201" s="1">
        <v>769675</v>
      </c>
      <c r="J201" s="1">
        <v>78975</v>
      </c>
      <c r="K201" s="1">
        <v>848650</v>
      </c>
      <c r="L201" s="1">
        <v>68147755</v>
      </c>
      <c r="M201" s="1">
        <v>29802655</v>
      </c>
      <c r="N201" s="1">
        <v>97950411</v>
      </c>
      <c r="O201" s="1">
        <v>78976519</v>
      </c>
      <c r="P201" s="1">
        <v>34056646</v>
      </c>
      <c r="Q201" s="1">
        <v>113033164</v>
      </c>
      <c r="R201">
        <v>86.29</v>
      </c>
      <c r="S201">
        <v>87.51</v>
      </c>
      <c r="T201">
        <v>86.66</v>
      </c>
      <c r="U201" s="2">
        <f t="shared" si="13"/>
        <v>43678</v>
      </c>
      <c r="V201" t="str">
        <f t="shared" si="14"/>
        <v>Summer</v>
      </c>
    </row>
    <row r="202" spans="1:22" x14ac:dyDescent="0.35">
      <c r="A202">
        <v>2019</v>
      </c>
      <c r="B202">
        <v>9</v>
      </c>
      <c r="C202" t="str">
        <f t="shared" si="12"/>
        <v>Fall</v>
      </c>
      <c r="D202">
        <f>IF(G202 &gt;= Table4[[#Totals],[Pax]], 1, 0)</f>
        <v>1</v>
      </c>
      <c r="E202" s="1">
        <v>63979337</v>
      </c>
      <c r="F202" s="1">
        <v>8589987</v>
      </c>
      <c r="G202" s="1">
        <v>72569324</v>
      </c>
      <c r="H202" s="1">
        <f t="shared" si="15"/>
        <v>83751188</v>
      </c>
      <c r="I202" s="1">
        <v>705071</v>
      </c>
      <c r="J202" s="1">
        <v>64280</v>
      </c>
      <c r="K202" s="1">
        <v>769351</v>
      </c>
      <c r="L202" s="1">
        <v>58213654</v>
      </c>
      <c r="M202" s="1">
        <v>25083576</v>
      </c>
      <c r="N202" s="1">
        <v>83297229</v>
      </c>
      <c r="O202" s="1">
        <v>70649463</v>
      </c>
      <c r="P202" s="1">
        <v>30372637</v>
      </c>
      <c r="Q202" s="1">
        <v>101022100</v>
      </c>
      <c r="R202">
        <v>82.4</v>
      </c>
      <c r="S202">
        <v>82.59</v>
      </c>
      <c r="T202">
        <v>82.45</v>
      </c>
      <c r="U202" s="2">
        <f t="shared" si="13"/>
        <v>43709</v>
      </c>
      <c r="V202" t="str">
        <f t="shared" si="14"/>
        <v>Fall</v>
      </c>
    </row>
    <row r="203" spans="1:22" x14ac:dyDescent="0.35">
      <c r="A203">
        <v>2019</v>
      </c>
      <c r="B203">
        <v>10</v>
      </c>
      <c r="C203" t="str">
        <f t="shared" si="12"/>
        <v>Fall</v>
      </c>
      <c r="D203">
        <f>IF(G203 &gt;= Table4[[#Totals],[Pax]], 1, 0)</f>
        <v>1</v>
      </c>
      <c r="E203" s="1">
        <v>69922300</v>
      </c>
      <c r="F203" s="1">
        <v>8678300</v>
      </c>
      <c r="G203" s="1">
        <v>78600600</v>
      </c>
      <c r="H203" s="1">
        <f t="shared" si="15"/>
        <v>72569324</v>
      </c>
      <c r="I203" s="1">
        <v>740181</v>
      </c>
      <c r="J203" s="1">
        <v>65807</v>
      </c>
      <c r="K203" s="1">
        <v>805988</v>
      </c>
      <c r="L203" s="1">
        <v>63323849</v>
      </c>
      <c r="M203" s="1">
        <v>24290255</v>
      </c>
      <c r="N203" s="1">
        <v>87614104</v>
      </c>
      <c r="O203" s="1">
        <v>74904303</v>
      </c>
      <c r="P203" s="1">
        <v>29477943</v>
      </c>
      <c r="Q203" s="1">
        <v>104382246</v>
      </c>
      <c r="R203">
        <v>84.54</v>
      </c>
      <c r="S203">
        <v>82.4</v>
      </c>
      <c r="T203">
        <v>83.94</v>
      </c>
      <c r="U203" s="2">
        <f t="shared" si="13"/>
        <v>43739</v>
      </c>
      <c r="V203" t="str">
        <f t="shared" si="14"/>
        <v>Fall</v>
      </c>
    </row>
    <row r="204" spans="1:22" x14ac:dyDescent="0.35">
      <c r="A204">
        <v>2019</v>
      </c>
      <c r="B204">
        <v>11</v>
      </c>
      <c r="C204" t="str">
        <f t="shared" si="12"/>
        <v>Fall</v>
      </c>
      <c r="D204">
        <f>IF(G204 &gt;= Table4[[#Totals],[Pax]], 1, 0)</f>
        <v>1</v>
      </c>
      <c r="E204" s="1">
        <v>64816897</v>
      </c>
      <c r="F204" s="1">
        <v>8240630</v>
      </c>
      <c r="G204" s="1">
        <v>73057527</v>
      </c>
      <c r="H204" s="1">
        <f t="shared" si="15"/>
        <v>78600600</v>
      </c>
      <c r="I204" s="1">
        <v>694377</v>
      </c>
      <c r="J204" s="1">
        <v>64025</v>
      </c>
      <c r="K204" s="1">
        <v>758402</v>
      </c>
      <c r="L204" s="1">
        <v>59158778</v>
      </c>
      <c r="M204" s="1">
        <v>21330058</v>
      </c>
      <c r="N204" s="1">
        <v>80488836</v>
      </c>
      <c r="O204" s="1">
        <v>72118560</v>
      </c>
      <c r="P204" s="1">
        <v>26346567</v>
      </c>
      <c r="Q204" s="1">
        <v>98465127</v>
      </c>
      <c r="R204">
        <v>82.03</v>
      </c>
      <c r="S204">
        <v>80.959999999999994</v>
      </c>
      <c r="T204">
        <v>81.739999999999995</v>
      </c>
      <c r="U204" s="2">
        <f t="shared" si="13"/>
        <v>43770</v>
      </c>
      <c r="V204" t="str">
        <f t="shared" si="14"/>
        <v>Fall</v>
      </c>
    </row>
    <row r="205" spans="1:22" x14ac:dyDescent="0.35">
      <c r="A205">
        <v>2019</v>
      </c>
      <c r="B205">
        <v>12</v>
      </c>
      <c r="C205" t="str">
        <f t="shared" si="12"/>
        <v>Fall</v>
      </c>
      <c r="D205">
        <f>IF(G205 &gt;= Table4[[#Totals],[Pax]], 1, 0)</f>
        <v>1</v>
      </c>
      <c r="E205" s="1">
        <v>69718631</v>
      </c>
      <c r="F205" s="1">
        <v>9566028</v>
      </c>
      <c r="G205" s="1">
        <v>79284659</v>
      </c>
      <c r="H205" s="1">
        <f t="shared" si="15"/>
        <v>73057527</v>
      </c>
      <c r="I205" s="1">
        <v>721420</v>
      </c>
      <c r="J205" s="1">
        <v>71724</v>
      </c>
      <c r="K205" s="1">
        <v>793144</v>
      </c>
      <c r="L205" s="1">
        <v>65288156</v>
      </c>
      <c r="M205" s="1">
        <v>24636021</v>
      </c>
      <c r="N205" s="1">
        <v>89924177</v>
      </c>
      <c r="O205" s="1">
        <v>76153730</v>
      </c>
      <c r="P205" s="1">
        <v>29139144</v>
      </c>
      <c r="Q205" s="1">
        <v>105292875</v>
      </c>
      <c r="R205">
        <v>85.73</v>
      </c>
      <c r="S205">
        <v>84.55</v>
      </c>
      <c r="T205">
        <v>85.4</v>
      </c>
      <c r="U205" s="2">
        <f t="shared" si="13"/>
        <v>43800</v>
      </c>
      <c r="V205" t="str">
        <f t="shared" si="14"/>
        <v>Winter</v>
      </c>
    </row>
    <row r="206" spans="1:22" x14ac:dyDescent="0.35">
      <c r="A206">
        <v>2020</v>
      </c>
      <c r="B206">
        <v>1</v>
      </c>
      <c r="C206" t="str">
        <f t="shared" si="12"/>
        <v>Winter</v>
      </c>
      <c r="D206">
        <f>IF(G206 &gt;= Table4[[#Totals],[Pax]], 1, 0)</f>
        <v>1</v>
      </c>
      <c r="E206" s="1">
        <v>61622947</v>
      </c>
      <c r="F206" s="1">
        <v>9144821</v>
      </c>
      <c r="G206" s="1">
        <v>70767768</v>
      </c>
      <c r="H206" s="1">
        <f t="shared" si="15"/>
        <v>79284659</v>
      </c>
      <c r="I206" s="1">
        <v>700493</v>
      </c>
      <c r="J206" s="1">
        <v>70035</v>
      </c>
      <c r="K206" s="1">
        <v>770528</v>
      </c>
      <c r="L206" s="1">
        <v>57629920</v>
      </c>
      <c r="M206" s="1">
        <v>23378976</v>
      </c>
      <c r="N206" s="1">
        <v>81008896</v>
      </c>
      <c r="O206" s="1">
        <v>72425565</v>
      </c>
      <c r="P206" s="1">
        <v>28723812</v>
      </c>
      <c r="Q206" s="1">
        <v>101149378</v>
      </c>
      <c r="R206">
        <v>79.569999999999993</v>
      </c>
      <c r="S206">
        <v>81.39</v>
      </c>
      <c r="T206">
        <v>80.09</v>
      </c>
      <c r="U206" s="2">
        <f t="shared" si="13"/>
        <v>43831</v>
      </c>
      <c r="V206" t="str">
        <f t="shared" si="14"/>
        <v>Winter</v>
      </c>
    </row>
    <row r="207" spans="1:22" x14ac:dyDescent="0.35">
      <c r="A207">
        <v>2020</v>
      </c>
      <c r="B207">
        <v>2</v>
      </c>
      <c r="C207" t="str">
        <f t="shared" si="12"/>
        <v>Winter</v>
      </c>
      <c r="D207">
        <f>IF(G207 &gt;= Table4[[#Totals],[Pax]], 1, 0)</f>
        <v>1</v>
      </c>
      <c r="E207" s="1">
        <v>59868112</v>
      </c>
      <c r="F207" s="1">
        <v>7945094</v>
      </c>
      <c r="G207" s="1">
        <v>67813206</v>
      </c>
      <c r="H207" s="1">
        <f t="shared" si="15"/>
        <v>70767768</v>
      </c>
      <c r="I207" s="1">
        <v>660344</v>
      </c>
      <c r="J207" s="1">
        <v>64414</v>
      </c>
      <c r="K207" s="1">
        <v>724758</v>
      </c>
      <c r="L207" s="1">
        <v>55336120</v>
      </c>
      <c r="M207" s="1">
        <v>18527485</v>
      </c>
      <c r="N207" s="1">
        <v>73863606</v>
      </c>
      <c r="O207" s="1">
        <v>68495012</v>
      </c>
      <c r="P207" s="1">
        <v>24319113</v>
      </c>
      <c r="Q207" s="1">
        <v>92814125</v>
      </c>
      <c r="R207">
        <v>80.790000000000006</v>
      </c>
      <c r="S207">
        <v>76.180000000000007</v>
      </c>
      <c r="T207">
        <v>79.58</v>
      </c>
      <c r="U207" s="2">
        <f t="shared" si="13"/>
        <v>43862</v>
      </c>
      <c r="V207" t="str">
        <f t="shared" si="14"/>
        <v>Winter</v>
      </c>
    </row>
    <row r="208" spans="1:22" x14ac:dyDescent="0.35">
      <c r="A208">
        <v>2020</v>
      </c>
      <c r="B208">
        <v>3</v>
      </c>
      <c r="C208" t="str">
        <f t="shared" si="12"/>
        <v>Spring</v>
      </c>
      <c r="D208">
        <f>IF(G208 &gt;= Table4[[#Totals],[Pax]], 1, 0)</f>
        <v>0</v>
      </c>
      <c r="E208" s="1">
        <v>34413597</v>
      </c>
      <c r="F208" s="1">
        <v>4645178</v>
      </c>
      <c r="G208" s="1">
        <v>39058775</v>
      </c>
      <c r="H208" s="1">
        <f t="shared" si="15"/>
        <v>67813206</v>
      </c>
      <c r="I208" s="1">
        <v>616136</v>
      </c>
      <c r="J208" s="1">
        <v>51108</v>
      </c>
      <c r="K208" s="1">
        <v>667244</v>
      </c>
      <c r="L208" s="1">
        <v>32526486</v>
      </c>
      <c r="M208" s="1">
        <v>10229609</v>
      </c>
      <c r="N208" s="1">
        <v>42756095</v>
      </c>
      <c r="O208" s="1">
        <v>64968387</v>
      </c>
      <c r="P208" s="1">
        <v>17530264</v>
      </c>
      <c r="Q208" s="1">
        <v>82498651</v>
      </c>
      <c r="R208">
        <v>50.07</v>
      </c>
      <c r="S208">
        <v>58.35</v>
      </c>
      <c r="T208">
        <v>51.83</v>
      </c>
      <c r="U208" s="2">
        <f t="shared" si="13"/>
        <v>43891</v>
      </c>
      <c r="V208" t="str">
        <f t="shared" si="14"/>
        <v>Spring</v>
      </c>
    </row>
    <row r="209" spans="1:22" x14ac:dyDescent="0.35">
      <c r="A209">
        <v>2020</v>
      </c>
      <c r="B209">
        <v>4</v>
      </c>
      <c r="C209" t="str">
        <f t="shared" si="12"/>
        <v>Spring</v>
      </c>
      <c r="D209">
        <f>IF(G209 &gt;= Table4[[#Totals],[Pax]], 1, 0)</f>
        <v>0</v>
      </c>
      <c r="E209" s="1">
        <v>2877290</v>
      </c>
      <c r="F209" s="1">
        <v>136609</v>
      </c>
      <c r="G209" s="1">
        <v>3013899</v>
      </c>
      <c r="H209" s="1">
        <f t="shared" si="15"/>
        <v>39058775</v>
      </c>
      <c r="I209" s="1">
        <v>217262</v>
      </c>
      <c r="J209" s="1">
        <v>5018</v>
      </c>
      <c r="K209" s="1">
        <v>222280</v>
      </c>
      <c r="L209" s="1">
        <v>2551127</v>
      </c>
      <c r="M209" s="1">
        <v>356762</v>
      </c>
      <c r="N209" s="1">
        <v>2907889</v>
      </c>
      <c r="O209" s="1">
        <v>19489079</v>
      </c>
      <c r="P209" s="1">
        <v>1541419</v>
      </c>
      <c r="Q209" s="1">
        <v>21030499</v>
      </c>
      <c r="R209">
        <v>13.09</v>
      </c>
      <c r="S209">
        <v>23.15</v>
      </c>
      <c r="T209">
        <v>13.83</v>
      </c>
      <c r="U209" s="2">
        <f t="shared" si="13"/>
        <v>43922</v>
      </c>
      <c r="V209" t="str">
        <f t="shared" si="14"/>
        <v>Spring</v>
      </c>
    </row>
    <row r="210" spans="1:22" x14ac:dyDescent="0.35">
      <c r="A210">
        <v>2020</v>
      </c>
      <c r="B210">
        <v>5</v>
      </c>
      <c r="C210" t="str">
        <f t="shared" si="12"/>
        <v>Spring</v>
      </c>
      <c r="D210">
        <f>IF(G210 &gt;= Table4[[#Totals],[Pax]], 1, 0)</f>
        <v>0</v>
      </c>
      <c r="E210" s="1">
        <v>9697400</v>
      </c>
      <c r="F210" s="1">
        <v>190629</v>
      </c>
      <c r="G210" s="1">
        <v>9888029</v>
      </c>
      <c r="H210" s="1">
        <f t="shared" si="15"/>
        <v>3013899</v>
      </c>
      <c r="I210" s="1">
        <v>252450</v>
      </c>
      <c r="J210" s="1">
        <v>4996</v>
      </c>
      <c r="K210" s="1">
        <v>257446</v>
      </c>
      <c r="L210" s="1">
        <v>8117835</v>
      </c>
      <c r="M210" s="1">
        <v>479069</v>
      </c>
      <c r="N210" s="1">
        <v>8596904</v>
      </c>
      <c r="O210" s="1">
        <v>22120037</v>
      </c>
      <c r="P210" s="1">
        <v>1746343</v>
      </c>
      <c r="Q210" s="1">
        <v>23866380</v>
      </c>
      <c r="R210">
        <v>36.700000000000003</v>
      </c>
      <c r="S210">
        <v>27.43</v>
      </c>
      <c r="T210">
        <v>36.020000000000003</v>
      </c>
      <c r="U210" s="2">
        <f t="shared" si="13"/>
        <v>43952</v>
      </c>
      <c r="V210" t="str">
        <f t="shared" si="14"/>
        <v>Spring</v>
      </c>
    </row>
    <row r="211" spans="1:22" x14ac:dyDescent="0.35">
      <c r="A211">
        <v>2020</v>
      </c>
      <c r="B211">
        <v>6</v>
      </c>
      <c r="C211" t="str">
        <f t="shared" si="12"/>
        <v>Summer</v>
      </c>
      <c r="D211">
        <f>IF(G211 &gt;= Table4[[#Totals],[Pax]], 1, 0)</f>
        <v>0</v>
      </c>
      <c r="E211" s="1">
        <v>16207290</v>
      </c>
      <c r="F211" s="1">
        <v>403702</v>
      </c>
      <c r="G211" s="1">
        <v>16610992</v>
      </c>
      <c r="H211" s="1">
        <f t="shared" si="15"/>
        <v>9888029</v>
      </c>
      <c r="I211" s="1">
        <v>273036</v>
      </c>
      <c r="J211" s="1">
        <v>7220</v>
      </c>
      <c r="K211" s="1">
        <v>280256</v>
      </c>
      <c r="L211" s="1">
        <v>14007580</v>
      </c>
      <c r="M211" s="1">
        <v>896609</v>
      </c>
      <c r="N211" s="1">
        <v>14904189</v>
      </c>
      <c r="O211" s="1">
        <v>24940429</v>
      </c>
      <c r="P211" s="1">
        <v>2580911</v>
      </c>
      <c r="Q211" s="1">
        <v>27521340</v>
      </c>
      <c r="R211">
        <v>56.16</v>
      </c>
      <c r="S211">
        <v>34.74</v>
      </c>
      <c r="T211">
        <v>54.16</v>
      </c>
      <c r="U211" s="2">
        <f t="shared" si="13"/>
        <v>43983</v>
      </c>
      <c r="V211" t="str">
        <f t="shared" si="14"/>
        <v>Summer</v>
      </c>
    </row>
    <row r="212" spans="1:22" x14ac:dyDescent="0.35">
      <c r="A212">
        <v>2020</v>
      </c>
      <c r="B212">
        <v>7</v>
      </c>
      <c r="C212" t="str">
        <f t="shared" si="12"/>
        <v>Summer</v>
      </c>
      <c r="D212">
        <f>IF(G212 &gt;= Table4[[#Totals],[Pax]], 1, 0)</f>
        <v>0</v>
      </c>
      <c r="E212" s="1">
        <v>22921780</v>
      </c>
      <c r="F212" s="1">
        <v>1132104</v>
      </c>
      <c r="G212" s="1">
        <v>24053884</v>
      </c>
      <c r="H212" s="1">
        <f t="shared" si="15"/>
        <v>16610992</v>
      </c>
      <c r="I212" s="1">
        <v>411226</v>
      </c>
      <c r="J212" s="1">
        <v>16692</v>
      </c>
      <c r="K212" s="1">
        <v>427918</v>
      </c>
      <c r="L212" s="1">
        <v>20075947</v>
      </c>
      <c r="M212" s="1">
        <v>1982897</v>
      </c>
      <c r="N212" s="1">
        <v>22058844</v>
      </c>
      <c r="O212" s="1">
        <v>40313242</v>
      </c>
      <c r="P212" s="1">
        <v>5480689</v>
      </c>
      <c r="Q212" s="1">
        <v>45793931</v>
      </c>
      <c r="R212">
        <v>49.8</v>
      </c>
      <c r="S212">
        <v>36.18</v>
      </c>
      <c r="T212">
        <v>48.17</v>
      </c>
      <c r="U212" s="2">
        <f t="shared" si="13"/>
        <v>44013</v>
      </c>
      <c r="V212" t="str">
        <f t="shared" si="14"/>
        <v>Summer</v>
      </c>
    </row>
    <row r="213" spans="1:22" x14ac:dyDescent="0.35">
      <c r="A213">
        <v>2020</v>
      </c>
      <c r="B213">
        <v>8</v>
      </c>
      <c r="C213" t="str">
        <f t="shared" si="12"/>
        <v>Summer</v>
      </c>
      <c r="D213">
        <f>IF(G213 &gt;= Table4[[#Totals],[Pax]], 1, 0)</f>
        <v>0</v>
      </c>
      <c r="E213" s="1">
        <v>24431273</v>
      </c>
      <c r="F213" s="1">
        <v>1399827</v>
      </c>
      <c r="G213" s="1">
        <v>25831100</v>
      </c>
      <c r="H213" s="1">
        <f t="shared" si="15"/>
        <v>24053884</v>
      </c>
      <c r="I213" s="1">
        <v>441615</v>
      </c>
      <c r="J213" s="1">
        <v>18295</v>
      </c>
      <c r="K213" s="1">
        <v>459910</v>
      </c>
      <c r="L213" s="1">
        <v>21184550</v>
      </c>
      <c r="M213" s="1">
        <v>2629514</v>
      </c>
      <c r="N213" s="1">
        <v>23814064</v>
      </c>
      <c r="O213" s="1">
        <v>42874103</v>
      </c>
      <c r="P213" s="1">
        <v>7105839</v>
      </c>
      <c r="Q213" s="1">
        <v>49979942</v>
      </c>
      <c r="R213">
        <v>49.41</v>
      </c>
      <c r="S213">
        <v>37</v>
      </c>
      <c r="T213">
        <v>47.65</v>
      </c>
      <c r="U213" s="2">
        <f t="shared" si="13"/>
        <v>44044</v>
      </c>
      <c r="V213" t="str">
        <f t="shared" si="14"/>
        <v>Summer</v>
      </c>
    </row>
    <row r="214" spans="1:22" x14ac:dyDescent="0.35">
      <c r="A214">
        <v>2020</v>
      </c>
      <c r="B214">
        <v>9</v>
      </c>
      <c r="C214" t="str">
        <f t="shared" si="12"/>
        <v>Fall</v>
      </c>
      <c r="D214">
        <f>IF(G214 &gt;= Table4[[#Totals],[Pax]], 1, 0)</f>
        <v>0</v>
      </c>
      <c r="E214" s="1">
        <v>23854440</v>
      </c>
      <c r="F214" s="1">
        <v>1413585</v>
      </c>
      <c r="G214" s="1">
        <v>25268025</v>
      </c>
      <c r="H214" s="1">
        <f t="shared" si="15"/>
        <v>25831100</v>
      </c>
      <c r="I214" s="1">
        <v>379506</v>
      </c>
      <c r="J214" s="1">
        <v>18285</v>
      </c>
      <c r="K214" s="1">
        <v>397791</v>
      </c>
      <c r="L214" s="1">
        <v>20474546</v>
      </c>
      <c r="M214" s="1">
        <v>2589214</v>
      </c>
      <c r="N214" s="1">
        <v>23063760</v>
      </c>
      <c r="O214" s="1">
        <v>35882006</v>
      </c>
      <c r="P214" s="1">
        <v>7283900</v>
      </c>
      <c r="Q214" s="1">
        <v>43165905</v>
      </c>
      <c r="R214">
        <v>57.06</v>
      </c>
      <c r="S214">
        <v>35.549999999999997</v>
      </c>
      <c r="T214">
        <v>53.43</v>
      </c>
      <c r="U214" s="2">
        <f t="shared" si="13"/>
        <v>44075</v>
      </c>
      <c r="V214" t="str">
        <f t="shared" si="14"/>
        <v>Fall</v>
      </c>
    </row>
    <row r="215" spans="1:22" x14ac:dyDescent="0.35">
      <c r="A215">
        <v>2020</v>
      </c>
      <c r="B215">
        <v>10</v>
      </c>
      <c r="C215" t="str">
        <f t="shared" si="12"/>
        <v>Fall</v>
      </c>
      <c r="D215">
        <f>IF(G215 &gt;= Table4[[#Totals],[Pax]], 1, 0)</f>
        <v>0</v>
      </c>
      <c r="E215" s="1">
        <v>28026570</v>
      </c>
      <c r="F215" s="1">
        <v>1982866</v>
      </c>
      <c r="G215" s="1">
        <v>30009436</v>
      </c>
      <c r="H215" s="1">
        <f t="shared" si="15"/>
        <v>25268025</v>
      </c>
      <c r="I215" s="1">
        <v>410189</v>
      </c>
      <c r="J215" s="1">
        <v>23724</v>
      </c>
      <c r="K215" s="1">
        <v>433913</v>
      </c>
      <c r="L215" s="1">
        <v>24425708</v>
      </c>
      <c r="M215" s="1">
        <v>3433101</v>
      </c>
      <c r="N215" s="1">
        <v>27858809</v>
      </c>
      <c r="O215" s="1">
        <v>40389923</v>
      </c>
      <c r="P215" s="1">
        <v>8881698</v>
      </c>
      <c r="Q215" s="1">
        <v>49271621</v>
      </c>
      <c r="R215">
        <v>60.47</v>
      </c>
      <c r="S215">
        <v>38.65</v>
      </c>
      <c r="T215">
        <v>56.54</v>
      </c>
      <c r="U215" s="2">
        <f t="shared" si="13"/>
        <v>44105</v>
      </c>
      <c r="V215" t="str">
        <f t="shared" si="14"/>
        <v>Fall</v>
      </c>
    </row>
    <row r="216" spans="1:22" x14ac:dyDescent="0.35">
      <c r="A216">
        <v>2020</v>
      </c>
      <c r="B216">
        <v>11</v>
      </c>
      <c r="C216" t="str">
        <f t="shared" si="12"/>
        <v>Fall</v>
      </c>
      <c r="D216">
        <f>IF(G216 &gt;= Table4[[#Totals],[Pax]], 1, 0)</f>
        <v>0</v>
      </c>
      <c r="E216" s="1">
        <v>26293959</v>
      </c>
      <c r="F216" s="1">
        <v>2463575</v>
      </c>
      <c r="G216" s="1">
        <v>28757534</v>
      </c>
      <c r="H216" s="1">
        <f t="shared" si="15"/>
        <v>30009436</v>
      </c>
      <c r="I216" s="1">
        <v>421049</v>
      </c>
      <c r="J216" s="1">
        <v>29652</v>
      </c>
      <c r="K216" s="1">
        <v>450701</v>
      </c>
      <c r="L216" s="1">
        <v>23711619</v>
      </c>
      <c r="M216" s="1">
        <v>4238353</v>
      </c>
      <c r="N216" s="1">
        <v>27949973</v>
      </c>
      <c r="O216" s="1">
        <v>43474919</v>
      </c>
      <c r="P216" s="1">
        <v>10199590</v>
      </c>
      <c r="Q216" s="1">
        <v>53674509</v>
      </c>
      <c r="R216">
        <v>54.54</v>
      </c>
      <c r="S216">
        <v>41.55</v>
      </c>
      <c r="T216">
        <v>52.07</v>
      </c>
      <c r="U216" s="2">
        <f t="shared" si="13"/>
        <v>44136</v>
      </c>
      <c r="V216" t="str">
        <f t="shared" si="14"/>
        <v>Fall</v>
      </c>
    </row>
    <row r="217" spans="1:22" x14ac:dyDescent="0.35">
      <c r="A217">
        <v>2020</v>
      </c>
      <c r="B217">
        <v>12</v>
      </c>
      <c r="C217" t="str">
        <f t="shared" si="12"/>
        <v>Fall</v>
      </c>
      <c r="D217">
        <f>IF(G217 &gt;= Table4[[#Totals],[Pax]], 1, 0)</f>
        <v>0</v>
      </c>
      <c r="E217" s="1">
        <v>27263462</v>
      </c>
      <c r="F217" s="1">
        <v>3269403</v>
      </c>
      <c r="G217" s="1">
        <v>30532865</v>
      </c>
      <c r="H217" s="1">
        <f t="shared" si="15"/>
        <v>28757534</v>
      </c>
      <c r="I217" s="1">
        <v>428768</v>
      </c>
      <c r="J217" s="1">
        <v>38852</v>
      </c>
      <c r="K217" s="1">
        <v>467620</v>
      </c>
      <c r="L217" s="1">
        <v>25075790</v>
      </c>
      <c r="M217" s="1">
        <v>5750942</v>
      </c>
      <c r="N217" s="1">
        <v>30826732</v>
      </c>
      <c r="O217" s="1">
        <v>45077321</v>
      </c>
      <c r="P217" s="1">
        <v>12309781</v>
      </c>
      <c r="Q217" s="1">
        <v>57387103</v>
      </c>
      <c r="R217">
        <v>55.63</v>
      </c>
      <c r="S217">
        <v>46.72</v>
      </c>
      <c r="T217">
        <v>53.72</v>
      </c>
      <c r="U217" s="2">
        <f t="shared" si="13"/>
        <v>44166</v>
      </c>
      <c r="V217" t="str">
        <f t="shared" si="14"/>
        <v>Winter</v>
      </c>
    </row>
    <row r="218" spans="1:22" x14ac:dyDescent="0.35">
      <c r="A218">
        <v>2021</v>
      </c>
      <c r="B218">
        <v>1</v>
      </c>
      <c r="C218" t="str">
        <f t="shared" si="12"/>
        <v>Winter</v>
      </c>
      <c r="D218">
        <f>IF(G218 &gt;= Table4[[#Totals],[Pax]], 1, 0)</f>
        <v>0</v>
      </c>
      <c r="E218" s="1">
        <v>24305435</v>
      </c>
      <c r="F218" s="1">
        <v>2986261</v>
      </c>
      <c r="G218" s="1">
        <v>27291696</v>
      </c>
      <c r="H218" s="1">
        <f t="shared" si="15"/>
        <v>30532865</v>
      </c>
      <c r="I218" s="1">
        <v>408807</v>
      </c>
      <c r="J218" s="1">
        <v>40455</v>
      </c>
      <c r="K218" s="1">
        <v>449262</v>
      </c>
      <c r="L218" s="1">
        <v>22357664</v>
      </c>
      <c r="M218" s="1">
        <v>5434809</v>
      </c>
      <c r="N218" s="1">
        <v>27792473</v>
      </c>
      <c r="O218" s="1">
        <v>42318242</v>
      </c>
      <c r="P218" s="1">
        <v>12923703</v>
      </c>
      <c r="Q218" s="1">
        <v>55241945</v>
      </c>
      <c r="R218">
        <v>52.83</v>
      </c>
      <c r="S218">
        <v>42.05</v>
      </c>
      <c r="T218">
        <v>50.31</v>
      </c>
      <c r="U218" s="2">
        <f t="shared" si="13"/>
        <v>44197</v>
      </c>
      <c r="V218" t="str">
        <f t="shared" si="14"/>
        <v>Winter</v>
      </c>
    </row>
    <row r="219" spans="1:22" x14ac:dyDescent="0.35">
      <c r="A219">
        <v>2021</v>
      </c>
      <c r="B219">
        <v>2</v>
      </c>
      <c r="C219" t="str">
        <f t="shared" si="12"/>
        <v>Winter</v>
      </c>
      <c r="D219">
        <f>IF(G219 &gt;= Table4[[#Totals],[Pax]], 1, 0)</f>
        <v>0</v>
      </c>
      <c r="E219" s="1">
        <v>24483154</v>
      </c>
      <c r="F219" s="1">
        <v>2121336</v>
      </c>
      <c r="G219" s="1">
        <v>26604490</v>
      </c>
      <c r="H219" s="1">
        <f t="shared" si="15"/>
        <v>27291696</v>
      </c>
      <c r="I219" s="1">
        <v>361687</v>
      </c>
      <c r="J219" s="1">
        <v>34903</v>
      </c>
      <c r="K219" s="1">
        <v>396590</v>
      </c>
      <c r="L219" s="1">
        <v>22477682</v>
      </c>
      <c r="M219" s="1">
        <v>3840749</v>
      </c>
      <c r="N219" s="1">
        <v>26318431</v>
      </c>
      <c r="O219" s="1">
        <v>37928419</v>
      </c>
      <c r="P219" s="1">
        <v>10965754</v>
      </c>
      <c r="Q219" s="1">
        <v>48894173</v>
      </c>
      <c r="R219">
        <v>59.26</v>
      </c>
      <c r="S219">
        <v>35.020000000000003</v>
      </c>
      <c r="T219">
        <v>53.83</v>
      </c>
      <c r="U219" s="2">
        <f t="shared" si="13"/>
        <v>44228</v>
      </c>
      <c r="V219" t="str">
        <f t="shared" si="14"/>
        <v>Winter</v>
      </c>
    </row>
    <row r="220" spans="1:22" x14ac:dyDescent="0.35">
      <c r="A220">
        <v>2021</v>
      </c>
      <c r="B220">
        <v>3</v>
      </c>
      <c r="C220" t="str">
        <f t="shared" si="12"/>
        <v>Spring</v>
      </c>
      <c r="D220">
        <f>IF(G220 &gt;= Table4[[#Totals],[Pax]], 1, 0)</f>
        <v>0</v>
      </c>
      <c r="E220" s="1">
        <v>39342855</v>
      </c>
      <c r="F220" s="1">
        <v>3453943</v>
      </c>
      <c r="G220" s="1">
        <v>42796798</v>
      </c>
      <c r="H220" s="1">
        <f t="shared" si="15"/>
        <v>26604490</v>
      </c>
      <c r="I220" s="1">
        <v>499359</v>
      </c>
      <c r="J220" s="1">
        <v>42273</v>
      </c>
      <c r="K220" s="1">
        <v>541632</v>
      </c>
      <c r="L220" s="1">
        <v>36811555</v>
      </c>
      <c r="M220" s="1">
        <v>5867011</v>
      </c>
      <c r="N220" s="1">
        <v>42678566</v>
      </c>
      <c r="O220" s="1">
        <v>53749326</v>
      </c>
      <c r="P220" s="1">
        <v>13510189</v>
      </c>
      <c r="Q220" s="1">
        <v>67259515</v>
      </c>
      <c r="R220">
        <v>68.489999999999995</v>
      </c>
      <c r="S220">
        <v>43.43</v>
      </c>
      <c r="T220">
        <v>63.45</v>
      </c>
      <c r="U220" s="2">
        <f t="shared" si="13"/>
        <v>44256</v>
      </c>
      <c r="V220" t="str">
        <f t="shared" si="14"/>
        <v>Spring</v>
      </c>
    </row>
    <row r="221" spans="1:22" x14ac:dyDescent="0.35">
      <c r="A221">
        <v>2021</v>
      </c>
      <c r="B221">
        <v>4</v>
      </c>
      <c r="C221" t="str">
        <f t="shared" si="12"/>
        <v>Spring</v>
      </c>
      <c r="D221">
        <f>IF(G221 &gt;= Table4[[#Totals],[Pax]], 1, 0)</f>
        <v>0</v>
      </c>
      <c r="E221" s="1">
        <v>43798512</v>
      </c>
      <c r="F221" s="1">
        <v>3998149</v>
      </c>
      <c r="G221" s="1">
        <v>47796661</v>
      </c>
      <c r="H221" s="1">
        <f t="shared" si="15"/>
        <v>42796798</v>
      </c>
      <c r="I221" s="1">
        <v>514268</v>
      </c>
      <c r="J221" s="1">
        <v>40981</v>
      </c>
      <c r="K221" s="1">
        <v>555249</v>
      </c>
      <c r="L221" s="1">
        <v>40971446</v>
      </c>
      <c r="M221" s="1">
        <v>6667109</v>
      </c>
      <c r="N221" s="1">
        <v>47638554</v>
      </c>
      <c r="O221" s="1">
        <v>54787593</v>
      </c>
      <c r="P221" s="1">
        <v>14129131</v>
      </c>
      <c r="Q221" s="1">
        <v>68916725</v>
      </c>
      <c r="R221">
        <v>74.78</v>
      </c>
      <c r="S221">
        <v>47.19</v>
      </c>
      <c r="T221">
        <v>69.12</v>
      </c>
      <c r="U221" s="2">
        <f t="shared" si="13"/>
        <v>44287</v>
      </c>
      <c r="V221" t="str">
        <f t="shared" si="14"/>
        <v>Spring</v>
      </c>
    </row>
    <row r="222" spans="1:22" x14ac:dyDescent="0.35">
      <c r="A222">
        <v>2021</v>
      </c>
      <c r="B222">
        <v>5</v>
      </c>
      <c r="C222" t="str">
        <f t="shared" si="12"/>
        <v>Spring</v>
      </c>
      <c r="D222">
        <f>IF(G222 &gt;= Table4[[#Totals],[Pax]], 1, 0)</f>
        <v>0</v>
      </c>
      <c r="E222" s="1">
        <v>52751776</v>
      </c>
      <c r="F222" s="1">
        <v>4941591</v>
      </c>
      <c r="G222" s="1">
        <v>57693367</v>
      </c>
      <c r="H222" s="1">
        <f t="shared" si="15"/>
        <v>47796661</v>
      </c>
      <c r="I222" s="1">
        <v>565788</v>
      </c>
      <c r="J222" s="1">
        <v>44613</v>
      </c>
      <c r="K222" s="1">
        <v>610401</v>
      </c>
      <c r="L222" s="1">
        <v>49648995</v>
      </c>
      <c r="M222" s="1">
        <v>8165943</v>
      </c>
      <c r="N222" s="1">
        <v>57814938</v>
      </c>
      <c r="O222" s="1">
        <v>61332631</v>
      </c>
      <c r="P222" s="1">
        <v>15385728</v>
      </c>
      <c r="Q222" s="1">
        <v>76718359</v>
      </c>
      <c r="R222">
        <v>80.95</v>
      </c>
      <c r="S222">
        <v>53.07</v>
      </c>
      <c r="T222">
        <v>75.36</v>
      </c>
      <c r="U222" s="2">
        <f t="shared" si="13"/>
        <v>44317</v>
      </c>
      <c r="V222" t="str">
        <f t="shared" si="14"/>
        <v>Spring</v>
      </c>
    </row>
    <row r="223" spans="1:22" x14ac:dyDescent="0.35">
      <c r="A223">
        <v>2021</v>
      </c>
      <c r="B223">
        <v>6</v>
      </c>
      <c r="C223" t="str">
        <f t="shared" si="12"/>
        <v>Summer</v>
      </c>
      <c r="D223">
        <f>IF(G223 &gt;= Table4[[#Totals],[Pax]], 1, 0)</f>
        <v>1</v>
      </c>
      <c r="E223" s="1">
        <v>60109293</v>
      </c>
      <c r="F223" s="1">
        <v>6035931</v>
      </c>
      <c r="G223" s="1">
        <v>66145224</v>
      </c>
      <c r="H223" s="1">
        <f t="shared" si="15"/>
        <v>57693367</v>
      </c>
      <c r="I223" s="1">
        <v>617735</v>
      </c>
      <c r="J223" s="1">
        <v>48831</v>
      </c>
      <c r="K223" s="1">
        <v>666566</v>
      </c>
      <c r="L223" s="1">
        <v>57717786</v>
      </c>
      <c r="M223" s="1">
        <v>10815231</v>
      </c>
      <c r="N223" s="1">
        <v>68533017</v>
      </c>
      <c r="O223" s="1">
        <v>67462113</v>
      </c>
      <c r="P223" s="1">
        <v>17097559</v>
      </c>
      <c r="Q223" s="1">
        <v>84559672</v>
      </c>
      <c r="R223">
        <v>85.56</v>
      </c>
      <c r="S223">
        <v>63.26</v>
      </c>
      <c r="T223">
        <v>81.05</v>
      </c>
      <c r="U223" s="2">
        <f t="shared" si="13"/>
        <v>44348</v>
      </c>
      <c r="V223" t="str">
        <f t="shared" si="14"/>
        <v>Summer</v>
      </c>
    </row>
    <row r="224" spans="1:22" x14ac:dyDescent="0.35">
      <c r="A224">
        <v>2021</v>
      </c>
      <c r="B224">
        <v>7</v>
      </c>
      <c r="C224" t="str">
        <f t="shared" si="12"/>
        <v>Summer</v>
      </c>
      <c r="D224">
        <f>IF(G224 &gt;= Table4[[#Totals],[Pax]], 1, 0)</f>
        <v>1</v>
      </c>
      <c r="E224" s="1">
        <v>66739409</v>
      </c>
      <c r="F224" s="1">
        <v>7033399</v>
      </c>
      <c r="G224" s="1">
        <v>73772808</v>
      </c>
      <c r="H224" s="1">
        <f t="shared" si="15"/>
        <v>66145224</v>
      </c>
      <c r="I224" s="1">
        <v>664437</v>
      </c>
      <c r="J224" s="1">
        <v>52663</v>
      </c>
      <c r="K224" s="1">
        <v>717100</v>
      </c>
      <c r="L224" s="1">
        <v>64545073</v>
      </c>
      <c r="M224" s="1">
        <v>13494801</v>
      </c>
      <c r="N224" s="1">
        <v>78039874</v>
      </c>
      <c r="O224" s="1">
        <v>73407768</v>
      </c>
      <c r="P224" s="1">
        <v>19144100</v>
      </c>
      <c r="Q224" s="1">
        <v>92551868</v>
      </c>
      <c r="R224">
        <v>87.93</v>
      </c>
      <c r="S224">
        <v>70.489999999999995</v>
      </c>
      <c r="T224">
        <v>84.32</v>
      </c>
      <c r="U224" s="2">
        <f t="shared" si="13"/>
        <v>44378</v>
      </c>
      <c r="V224" t="str">
        <f t="shared" si="14"/>
        <v>Summer</v>
      </c>
    </row>
    <row r="225" spans="1:22" x14ac:dyDescent="0.35">
      <c r="A225">
        <v>2021</v>
      </c>
      <c r="B225">
        <v>8</v>
      </c>
      <c r="C225" t="str">
        <f t="shared" si="12"/>
        <v>Summer</v>
      </c>
      <c r="D225">
        <f>IF(G225 &gt;= Table4[[#Totals],[Pax]], 1, 0)</f>
        <v>1</v>
      </c>
      <c r="E225" s="1">
        <v>60630994</v>
      </c>
      <c r="F225" s="1">
        <v>6357070</v>
      </c>
      <c r="G225" s="1">
        <v>66988064</v>
      </c>
      <c r="H225" s="1">
        <f t="shared" si="15"/>
        <v>73772808</v>
      </c>
      <c r="I225" s="1">
        <v>662000</v>
      </c>
      <c r="J225" s="1">
        <v>50664</v>
      </c>
      <c r="K225" s="1">
        <v>712664</v>
      </c>
      <c r="L225" s="1">
        <v>58416638</v>
      </c>
      <c r="M225" s="1">
        <v>13314028</v>
      </c>
      <c r="N225" s="1">
        <v>71730666</v>
      </c>
      <c r="O225" s="1">
        <v>71871421</v>
      </c>
      <c r="P225" s="1">
        <v>19302668</v>
      </c>
      <c r="Q225" s="1">
        <v>91174089</v>
      </c>
      <c r="R225">
        <v>81.28</v>
      </c>
      <c r="S225">
        <v>68.98</v>
      </c>
      <c r="T225">
        <v>78.67</v>
      </c>
      <c r="U225" s="2">
        <f t="shared" si="13"/>
        <v>44409</v>
      </c>
      <c r="V225" t="str">
        <f t="shared" si="14"/>
        <v>Summer</v>
      </c>
    </row>
    <row r="226" spans="1:22" x14ac:dyDescent="0.35">
      <c r="A226">
        <v>2021</v>
      </c>
      <c r="B226">
        <v>9</v>
      </c>
      <c r="C226" t="str">
        <f t="shared" si="12"/>
        <v>Fall</v>
      </c>
      <c r="D226">
        <f>IF(G226 &gt;= Table4[[#Totals],[Pax]], 1, 0)</f>
        <v>0</v>
      </c>
      <c r="E226" s="1">
        <v>53902837</v>
      </c>
      <c r="F226" s="1">
        <v>4843245</v>
      </c>
      <c r="G226" s="1">
        <v>58746082</v>
      </c>
      <c r="H226" s="1">
        <f t="shared" si="15"/>
        <v>66988064</v>
      </c>
      <c r="I226" s="1">
        <v>610284</v>
      </c>
      <c r="J226" s="1">
        <v>43758</v>
      </c>
      <c r="K226" s="1">
        <v>654042</v>
      </c>
      <c r="L226" s="1">
        <v>50123961</v>
      </c>
      <c r="M226" s="1">
        <v>10421281</v>
      </c>
      <c r="N226" s="1">
        <v>60545242</v>
      </c>
      <c r="O226" s="1">
        <v>66268767</v>
      </c>
      <c r="P226" s="1">
        <v>17668823</v>
      </c>
      <c r="Q226" s="1">
        <v>83937590</v>
      </c>
      <c r="R226">
        <v>75.64</v>
      </c>
      <c r="S226">
        <v>58.98</v>
      </c>
      <c r="T226">
        <v>72.13</v>
      </c>
      <c r="U226" s="2">
        <f t="shared" si="13"/>
        <v>44440</v>
      </c>
      <c r="V226" t="str">
        <f t="shared" si="14"/>
        <v>Fall</v>
      </c>
    </row>
    <row r="227" spans="1:22" x14ac:dyDescent="0.35">
      <c r="A227">
        <v>2021</v>
      </c>
      <c r="B227">
        <v>10</v>
      </c>
      <c r="C227" t="str">
        <f t="shared" si="12"/>
        <v>Fall</v>
      </c>
      <c r="D227">
        <f>IF(G227 &gt;= Table4[[#Totals],[Pax]], 1, 0)</f>
        <v>1</v>
      </c>
      <c r="E227" s="1">
        <v>60546348</v>
      </c>
      <c r="F227" s="1">
        <v>5360481</v>
      </c>
      <c r="G227" s="1">
        <v>65906829</v>
      </c>
      <c r="H227" s="1">
        <f t="shared" si="15"/>
        <v>58746082</v>
      </c>
      <c r="I227" s="1">
        <v>630240</v>
      </c>
      <c r="J227" s="1">
        <v>47139</v>
      </c>
      <c r="K227" s="1">
        <v>677379</v>
      </c>
      <c r="L227" s="1">
        <v>55934187</v>
      </c>
      <c r="M227" s="1">
        <v>10985232</v>
      </c>
      <c r="N227" s="1">
        <v>66919419</v>
      </c>
      <c r="O227" s="1">
        <v>69064940</v>
      </c>
      <c r="P227" s="1">
        <v>18107013</v>
      </c>
      <c r="Q227" s="1">
        <v>87171954</v>
      </c>
      <c r="R227">
        <v>80.989999999999995</v>
      </c>
      <c r="S227">
        <v>60.67</v>
      </c>
      <c r="T227">
        <v>76.77</v>
      </c>
      <c r="U227" s="2">
        <f t="shared" si="13"/>
        <v>44470</v>
      </c>
      <c r="V227" t="str">
        <f t="shared" si="14"/>
        <v>Fall</v>
      </c>
    </row>
    <row r="228" spans="1:22" x14ac:dyDescent="0.35">
      <c r="A228">
        <v>2021</v>
      </c>
      <c r="B228">
        <v>11</v>
      </c>
      <c r="C228" t="str">
        <f t="shared" si="12"/>
        <v>Fall</v>
      </c>
      <c r="D228">
        <f>IF(G228 &gt;= Table4[[#Totals],[Pax]], 1, 0)</f>
        <v>1</v>
      </c>
      <c r="E228" s="1">
        <v>59779045</v>
      </c>
      <c r="F228" s="1">
        <v>5998703</v>
      </c>
      <c r="G228" s="1">
        <v>65777748</v>
      </c>
      <c r="H228" s="1">
        <f t="shared" si="15"/>
        <v>65906829</v>
      </c>
      <c r="I228" s="1">
        <v>617806</v>
      </c>
      <c r="J228" s="1">
        <v>50706</v>
      </c>
      <c r="K228" s="1">
        <v>668512</v>
      </c>
      <c r="L228" s="1">
        <v>55742346</v>
      </c>
      <c r="M228" s="1">
        <v>12199554</v>
      </c>
      <c r="N228" s="1">
        <v>67941900</v>
      </c>
      <c r="O228" s="1">
        <v>68469320</v>
      </c>
      <c r="P228" s="1">
        <v>17676220</v>
      </c>
      <c r="Q228" s="1">
        <v>86145540</v>
      </c>
      <c r="R228">
        <v>81.41</v>
      </c>
      <c r="S228">
        <v>69.02</v>
      </c>
      <c r="T228">
        <v>78.87</v>
      </c>
      <c r="U228" s="2">
        <f t="shared" si="13"/>
        <v>44501</v>
      </c>
      <c r="V228" t="str">
        <f t="shared" si="14"/>
        <v>Fall</v>
      </c>
    </row>
    <row r="229" spans="1:22" x14ac:dyDescent="0.35">
      <c r="A229">
        <v>2021</v>
      </c>
      <c r="B229">
        <v>12</v>
      </c>
      <c r="C229" t="str">
        <f t="shared" si="12"/>
        <v>Fall</v>
      </c>
      <c r="D229">
        <f>IF(G229 &gt;= Table4[[#Totals],[Pax]], 1, 0)</f>
        <v>1</v>
      </c>
      <c r="E229" s="1">
        <v>59534619</v>
      </c>
      <c r="F229" s="1">
        <v>7093846</v>
      </c>
      <c r="G229" s="1">
        <v>66628465</v>
      </c>
      <c r="H229" s="1">
        <f t="shared" si="15"/>
        <v>65777748</v>
      </c>
      <c r="I229" s="1">
        <v>605976</v>
      </c>
      <c r="J229" s="1">
        <v>59710</v>
      </c>
      <c r="K229" s="1">
        <v>665686</v>
      </c>
      <c r="L229" s="1">
        <v>57091558</v>
      </c>
      <c r="M229" s="1">
        <v>14779224</v>
      </c>
      <c r="N229" s="1">
        <v>71870782</v>
      </c>
      <c r="O229" s="1">
        <v>69447090</v>
      </c>
      <c r="P229" s="1">
        <v>20677611</v>
      </c>
      <c r="Q229" s="1">
        <v>90124701</v>
      </c>
      <c r="R229">
        <v>82.21</v>
      </c>
      <c r="S229">
        <v>71.47</v>
      </c>
      <c r="T229">
        <v>79.75</v>
      </c>
      <c r="U229" s="2">
        <f t="shared" si="13"/>
        <v>44531</v>
      </c>
      <c r="V229" t="str">
        <f t="shared" si="14"/>
        <v>Winter</v>
      </c>
    </row>
    <row r="230" spans="1:22" x14ac:dyDescent="0.35">
      <c r="A230">
        <v>2022</v>
      </c>
      <c r="B230">
        <v>1</v>
      </c>
      <c r="C230" t="str">
        <f t="shared" si="12"/>
        <v>Winter</v>
      </c>
      <c r="D230">
        <f>IF(G230 &gt;= Table4[[#Totals],[Pax]], 1, 0)</f>
        <v>0</v>
      </c>
      <c r="E230" s="1">
        <v>45814139</v>
      </c>
      <c r="F230" s="1">
        <v>6048973</v>
      </c>
      <c r="G230" s="1">
        <v>51863112</v>
      </c>
      <c r="H230" s="1">
        <f t="shared" si="15"/>
        <v>66628465</v>
      </c>
      <c r="I230" s="1">
        <v>569018</v>
      </c>
      <c r="J230" s="1">
        <v>59036</v>
      </c>
      <c r="K230" s="1">
        <v>628054</v>
      </c>
      <c r="L230" s="1">
        <v>43954958</v>
      </c>
      <c r="M230" s="1">
        <v>12498379</v>
      </c>
      <c r="N230" s="1">
        <v>56453337</v>
      </c>
      <c r="O230" s="1">
        <v>64319112</v>
      </c>
      <c r="P230" s="1">
        <v>20881798</v>
      </c>
      <c r="Q230" s="1">
        <v>85200910</v>
      </c>
      <c r="R230">
        <v>68.34</v>
      </c>
      <c r="S230">
        <v>59.85</v>
      </c>
      <c r="T230">
        <v>66.260000000000005</v>
      </c>
      <c r="U230" s="2">
        <f t="shared" si="13"/>
        <v>44562</v>
      </c>
      <c r="V230" t="str">
        <f t="shared" si="14"/>
        <v>Winter</v>
      </c>
    </row>
    <row r="231" spans="1:22" x14ac:dyDescent="0.35">
      <c r="A231">
        <v>2022</v>
      </c>
      <c r="B231">
        <v>2</v>
      </c>
      <c r="C231" t="str">
        <f t="shared" si="12"/>
        <v>Winter</v>
      </c>
      <c r="D231">
        <f>IF(G231 &gt;= Table4[[#Totals],[Pax]], 1, 0)</f>
        <v>0</v>
      </c>
      <c r="E231" s="1">
        <v>49075979</v>
      </c>
      <c r="F231" s="1">
        <v>5725939</v>
      </c>
      <c r="G231" s="1">
        <v>54801918</v>
      </c>
      <c r="H231" s="1">
        <f t="shared" si="15"/>
        <v>51863112</v>
      </c>
      <c r="I231" s="1">
        <v>533962</v>
      </c>
      <c r="J231" s="1">
        <v>52667</v>
      </c>
      <c r="K231" s="1">
        <v>586629</v>
      </c>
      <c r="L231" s="1">
        <v>46520073</v>
      </c>
      <c r="M231" s="1">
        <v>11512744</v>
      </c>
      <c r="N231" s="1">
        <v>58032817</v>
      </c>
      <c r="O231" s="1">
        <v>60647305</v>
      </c>
      <c r="P231" s="1">
        <v>18500799</v>
      </c>
      <c r="Q231" s="1">
        <v>79148105</v>
      </c>
      <c r="R231">
        <v>76.709999999999994</v>
      </c>
      <c r="S231">
        <v>62.23</v>
      </c>
      <c r="T231">
        <v>73.319999999999993</v>
      </c>
      <c r="U231" s="2">
        <f t="shared" si="13"/>
        <v>44593</v>
      </c>
      <c r="V231" t="str">
        <f t="shared" si="14"/>
        <v>Winter</v>
      </c>
    </row>
    <row r="232" spans="1:22" x14ac:dyDescent="0.35">
      <c r="A232">
        <v>2022</v>
      </c>
      <c r="B232">
        <v>3</v>
      </c>
      <c r="C232" t="str">
        <f t="shared" si="12"/>
        <v>Spring</v>
      </c>
      <c r="D232">
        <f>IF(G232 &gt;= Table4[[#Totals],[Pax]], 1, 0)</f>
        <v>1</v>
      </c>
      <c r="E232" s="1">
        <v>64617029</v>
      </c>
      <c r="F232" s="1">
        <v>7872874</v>
      </c>
      <c r="G232" s="1">
        <v>72489903</v>
      </c>
      <c r="H232" s="1">
        <f t="shared" si="15"/>
        <v>54801918</v>
      </c>
      <c r="I232" s="1">
        <v>629670</v>
      </c>
      <c r="J232" s="1">
        <v>62309</v>
      </c>
      <c r="K232" s="1">
        <v>691979</v>
      </c>
      <c r="L232" s="1">
        <v>61674886</v>
      </c>
      <c r="M232" s="1">
        <v>16212974</v>
      </c>
      <c r="N232" s="1">
        <v>77887859</v>
      </c>
      <c r="O232" s="1">
        <v>71989974</v>
      </c>
      <c r="P232" s="1">
        <v>22030861</v>
      </c>
      <c r="Q232" s="1">
        <v>94020835</v>
      </c>
      <c r="R232">
        <v>85.67</v>
      </c>
      <c r="S232">
        <v>73.59</v>
      </c>
      <c r="T232">
        <v>82.84</v>
      </c>
      <c r="U232" s="2">
        <f t="shared" si="13"/>
        <v>44621</v>
      </c>
      <c r="V232" t="str">
        <f t="shared" si="14"/>
        <v>Spring</v>
      </c>
    </row>
    <row r="233" spans="1:22" x14ac:dyDescent="0.35">
      <c r="A233">
        <v>2022</v>
      </c>
      <c r="B233">
        <v>4</v>
      </c>
      <c r="C233" t="str">
        <f t="shared" si="12"/>
        <v>Spring</v>
      </c>
      <c r="D233">
        <f>IF(G233 &gt;= Table4[[#Totals],[Pax]], 1, 0)</f>
        <v>1</v>
      </c>
      <c r="E233" s="1">
        <v>63518318</v>
      </c>
      <c r="F233" s="1">
        <v>8398121</v>
      </c>
      <c r="G233" s="1">
        <v>71916439</v>
      </c>
      <c r="H233" s="1">
        <f t="shared" si="15"/>
        <v>72489903</v>
      </c>
      <c r="I233" s="1">
        <v>616135</v>
      </c>
      <c r="J233" s="1">
        <v>63462</v>
      </c>
      <c r="K233" s="1">
        <v>679597</v>
      </c>
      <c r="L233" s="1">
        <v>60270759</v>
      </c>
      <c r="M233" s="1">
        <v>18529341</v>
      </c>
      <c r="N233" s="1">
        <v>78800100</v>
      </c>
      <c r="O233" s="1">
        <v>68700144</v>
      </c>
      <c r="P233" s="1">
        <v>23743871</v>
      </c>
      <c r="Q233" s="1">
        <v>92444015</v>
      </c>
      <c r="R233">
        <v>87.73</v>
      </c>
      <c r="S233">
        <v>78.040000000000006</v>
      </c>
      <c r="T233">
        <v>85.24</v>
      </c>
      <c r="U233" s="2">
        <f t="shared" si="13"/>
        <v>44652</v>
      </c>
      <c r="V233" t="str">
        <f t="shared" si="14"/>
        <v>Spring</v>
      </c>
    </row>
    <row r="234" spans="1:22" x14ac:dyDescent="0.35">
      <c r="A234">
        <v>2022</v>
      </c>
      <c r="B234">
        <v>5</v>
      </c>
      <c r="C234" t="str">
        <f t="shared" si="12"/>
        <v>Spring</v>
      </c>
      <c r="D234">
        <f>IF(G234 &gt;= Table4[[#Totals],[Pax]], 1, 0)</f>
        <v>1</v>
      </c>
      <c r="E234" s="1">
        <v>66961805</v>
      </c>
      <c r="F234" s="1">
        <v>8815732</v>
      </c>
      <c r="G234" s="1">
        <v>75777537</v>
      </c>
      <c r="H234" s="1">
        <f t="shared" si="15"/>
        <v>71916439</v>
      </c>
      <c r="I234" s="1">
        <v>644024</v>
      </c>
      <c r="J234" s="1">
        <v>65674</v>
      </c>
      <c r="K234" s="1">
        <v>709698</v>
      </c>
      <c r="L234" s="1">
        <v>62706846</v>
      </c>
      <c r="M234" s="1">
        <v>20788694</v>
      </c>
      <c r="N234" s="1">
        <v>83495540</v>
      </c>
      <c r="O234" s="1">
        <v>70974153</v>
      </c>
      <c r="P234" s="1">
        <v>26263661</v>
      </c>
      <c r="Q234" s="1">
        <v>97237814</v>
      </c>
      <c r="R234">
        <v>88.35</v>
      </c>
      <c r="S234">
        <v>79.150000000000006</v>
      </c>
      <c r="T234">
        <v>85.87</v>
      </c>
      <c r="U234" s="2">
        <f t="shared" si="13"/>
        <v>44682</v>
      </c>
      <c r="V234" t="str">
        <f t="shared" si="14"/>
        <v>Spring</v>
      </c>
    </row>
    <row r="235" spans="1:22" x14ac:dyDescent="0.35">
      <c r="A235">
        <v>2022</v>
      </c>
      <c r="B235">
        <v>6</v>
      </c>
      <c r="C235" t="str">
        <f t="shared" si="12"/>
        <v>Summer</v>
      </c>
      <c r="D235">
        <f>IF(G235 &gt;= Table4[[#Totals],[Pax]], 1, 0)</f>
        <v>1</v>
      </c>
      <c r="E235" s="1">
        <v>67368670</v>
      </c>
      <c r="F235" s="1">
        <v>10023468</v>
      </c>
      <c r="G235" s="1">
        <v>77392138</v>
      </c>
      <c r="H235" s="1">
        <f t="shared" si="15"/>
        <v>75777537</v>
      </c>
      <c r="I235" s="1">
        <v>640218</v>
      </c>
      <c r="J235" s="1">
        <v>67900</v>
      </c>
      <c r="K235" s="1">
        <v>708118</v>
      </c>
      <c r="L235" s="1">
        <v>63343854</v>
      </c>
      <c r="M235" s="1">
        <v>24276114</v>
      </c>
      <c r="N235" s="1">
        <v>87619968</v>
      </c>
      <c r="O235" s="1">
        <v>70415408</v>
      </c>
      <c r="P235" s="1">
        <v>27883747</v>
      </c>
      <c r="Q235" s="1">
        <v>98299154</v>
      </c>
      <c r="R235">
        <v>89.96</v>
      </c>
      <c r="S235">
        <v>87.06</v>
      </c>
      <c r="T235">
        <v>89.14</v>
      </c>
      <c r="U235" s="2">
        <f t="shared" si="13"/>
        <v>44713</v>
      </c>
      <c r="V235" t="str">
        <f t="shared" si="14"/>
        <v>Summer</v>
      </c>
    </row>
    <row r="236" spans="1:22" x14ac:dyDescent="0.35">
      <c r="A236">
        <v>2022</v>
      </c>
      <c r="B236">
        <v>7</v>
      </c>
      <c r="C236" t="str">
        <f t="shared" si="12"/>
        <v>Summer</v>
      </c>
      <c r="D236">
        <f>IF(G236 &gt;= Table4[[#Totals],[Pax]], 1, 0)</f>
        <v>1</v>
      </c>
      <c r="E236" s="1">
        <v>69432042</v>
      </c>
      <c r="F236" s="1">
        <v>10943155</v>
      </c>
      <c r="G236" s="1">
        <v>80375197</v>
      </c>
      <c r="H236" s="1">
        <f t="shared" si="15"/>
        <v>77392138</v>
      </c>
      <c r="I236" s="1">
        <v>667889</v>
      </c>
      <c r="J236" s="1">
        <v>71229</v>
      </c>
      <c r="K236" s="1">
        <v>739118</v>
      </c>
      <c r="L236" s="1">
        <v>65633746</v>
      </c>
      <c r="M236" s="1">
        <v>26440533</v>
      </c>
      <c r="N236" s="1">
        <v>92074279</v>
      </c>
      <c r="O236" s="1">
        <v>74959377</v>
      </c>
      <c r="P236" s="1">
        <v>29660776</v>
      </c>
      <c r="Q236" s="1">
        <v>104620153</v>
      </c>
      <c r="R236">
        <v>87.56</v>
      </c>
      <c r="S236">
        <v>89.14</v>
      </c>
      <c r="T236">
        <v>88.01</v>
      </c>
      <c r="U236" s="2">
        <f t="shared" si="13"/>
        <v>44743</v>
      </c>
      <c r="V236" t="str">
        <f t="shared" si="14"/>
        <v>Summer</v>
      </c>
    </row>
    <row r="237" spans="1:22" x14ac:dyDescent="0.35">
      <c r="A237">
        <v>2022</v>
      </c>
      <c r="B237">
        <v>8</v>
      </c>
      <c r="C237" t="str">
        <f t="shared" si="12"/>
        <v>Summer</v>
      </c>
      <c r="D237">
        <f>IF(G237 &gt;= Table4[[#Totals],[Pax]], 1, 0)</f>
        <v>1</v>
      </c>
      <c r="E237" s="1">
        <v>66520067</v>
      </c>
      <c r="F237" s="1">
        <v>10115929</v>
      </c>
      <c r="G237" s="1">
        <v>76635996</v>
      </c>
      <c r="H237" s="1">
        <f t="shared" si="15"/>
        <v>80375197</v>
      </c>
      <c r="I237" s="1">
        <v>657576</v>
      </c>
      <c r="J237" s="1">
        <v>68544</v>
      </c>
      <c r="K237" s="1">
        <v>726120</v>
      </c>
      <c r="L237" s="1">
        <v>62934639</v>
      </c>
      <c r="M237" s="1">
        <v>24979841</v>
      </c>
      <c r="N237" s="1">
        <v>87914480</v>
      </c>
      <c r="O237" s="1">
        <v>73836109</v>
      </c>
      <c r="P237" s="1">
        <v>29246437</v>
      </c>
      <c r="Q237" s="1">
        <v>103082546</v>
      </c>
      <c r="R237">
        <v>85.24</v>
      </c>
      <c r="S237">
        <v>85.41</v>
      </c>
      <c r="T237">
        <v>85.29</v>
      </c>
      <c r="U237" s="2">
        <f t="shared" si="13"/>
        <v>44774</v>
      </c>
      <c r="V237" t="str">
        <f t="shared" si="14"/>
        <v>Summer</v>
      </c>
    </row>
    <row r="238" spans="1:22" x14ac:dyDescent="0.35">
      <c r="A238">
        <v>2022</v>
      </c>
      <c r="B238">
        <v>9</v>
      </c>
      <c r="C238" t="str">
        <f t="shared" si="12"/>
        <v>Fall</v>
      </c>
      <c r="D238">
        <f>IF(G238 &gt;= Table4[[#Totals],[Pax]], 1, 0)</f>
        <v>1</v>
      </c>
      <c r="E238" s="1">
        <v>63139630</v>
      </c>
      <c r="F238" s="1">
        <v>8287331</v>
      </c>
      <c r="G238" s="1">
        <v>71426961</v>
      </c>
      <c r="H238" s="1">
        <f t="shared" si="15"/>
        <v>76635996</v>
      </c>
      <c r="I238" s="1">
        <v>622299</v>
      </c>
      <c r="J238" s="1">
        <v>57089</v>
      </c>
      <c r="K238" s="1">
        <v>679388</v>
      </c>
      <c r="L238" s="1">
        <v>58463970</v>
      </c>
      <c r="M238" s="1">
        <v>21860088</v>
      </c>
      <c r="N238" s="1">
        <v>80324058</v>
      </c>
      <c r="O238" s="1">
        <v>68920247</v>
      </c>
      <c r="P238" s="1">
        <v>26063870</v>
      </c>
      <c r="Q238" s="1">
        <v>94984116</v>
      </c>
      <c r="R238">
        <v>84.83</v>
      </c>
      <c r="S238">
        <v>83.87</v>
      </c>
      <c r="T238">
        <v>84.57</v>
      </c>
      <c r="U238" s="2">
        <f t="shared" si="13"/>
        <v>44805</v>
      </c>
      <c r="V238" t="str">
        <f t="shared" si="14"/>
        <v>Fall</v>
      </c>
    </row>
    <row r="239" spans="1:22" x14ac:dyDescent="0.35">
      <c r="A239">
        <v>2022</v>
      </c>
      <c r="B239">
        <v>10</v>
      </c>
      <c r="C239" t="str">
        <f t="shared" si="12"/>
        <v>Fall</v>
      </c>
      <c r="D239">
        <f>IF(G239 &gt;= Table4[[#Totals],[Pax]], 1, 0)</f>
        <v>1</v>
      </c>
      <c r="E239" s="1">
        <v>67935181</v>
      </c>
      <c r="F239" s="1">
        <v>8414518</v>
      </c>
      <c r="G239" s="1">
        <v>76349699</v>
      </c>
      <c r="H239" s="1">
        <f t="shared" si="15"/>
        <v>71426961</v>
      </c>
      <c r="I239" s="1">
        <v>639282</v>
      </c>
      <c r="J239" s="1">
        <v>57765</v>
      </c>
      <c r="K239" s="1">
        <v>697047</v>
      </c>
      <c r="L239" s="1">
        <v>62656863</v>
      </c>
      <c r="M239" s="1">
        <v>21457977</v>
      </c>
      <c r="N239" s="1">
        <v>84114840</v>
      </c>
      <c r="O239" s="1">
        <v>72264313</v>
      </c>
      <c r="P239" s="1">
        <v>25834667</v>
      </c>
      <c r="Q239" s="1">
        <v>98098981</v>
      </c>
      <c r="R239">
        <v>86.71</v>
      </c>
      <c r="S239">
        <v>83.06</v>
      </c>
      <c r="T239">
        <v>85.74</v>
      </c>
      <c r="U239" s="2">
        <f t="shared" si="13"/>
        <v>44835</v>
      </c>
      <c r="V239" t="str">
        <f t="shared" si="14"/>
        <v>Fall</v>
      </c>
    </row>
    <row r="240" spans="1:22" x14ac:dyDescent="0.35">
      <c r="A240">
        <v>2022</v>
      </c>
      <c r="B240">
        <v>11</v>
      </c>
      <c r="C240" t="str">
        <f t="shared" si="12"/>
        <v>Fall</v>
      </c>
      <c r="D240">
        <f>IF(G240 &gt;= Table4[[#Totals],[Pax]], 1, 0)</f>
        <v>1</v>
      </c>
      <c r="E240" s="1">
        <v>63680032</v>
      </c>
      <c r="F240" s="1">
        <v>8216914</v>
      </c>
      <c r="G240" s="1">
        <v>71896946</v>
      </c>
      <c r="H240" s="1">
        <f t="shared" si="15"/>
        <v>76349699</v>
      </c>
      <c r="I240" s="1">
        <v>605075</v>
      </c>
      <c r="J240" s="1">
        <v>59745</v>
      </c>
      <c r="K240" s="1">
        <v>664820</v>
      </c>
      <c r="L240" s="1">
        <v>59194297</v>
      </c>
      <c r="M240" s="1">
        <v>19692450</v>
      </c>
      <c r="N240" s="1">
        <v>78886747</v>
      </c>
      <c r="O240" s="1">
        <v>70250775</v>
      </c>
      <c r="P240" s="1">
        <v>24616723</v>
      </c>
      <c r="Q240" s="1">
        <v>94867498</v>
      </c>
      <c r="R240">
        <v>84.26</v>
      </c>
      <c r="S240">
        <v>80</v>
      </c>
      <c r="T240">
        <v>83.15</v>
      </c>
      <c r="U240" s="2">
        <f t="shared" si="13"/>
        <v>44866</v>
      </c>
      <c r="V240" t="str">
        <f t="shared" si="14"/>
        <v>Fall</v>
      </c>
    </row>
    <row r="241" spans="1:22" x14ac:dyDescent="0.35">
      <c r="A241">
        <v>2022</v>
      </c>
      <c r="B241">
        <v>12</v>
      </c>
      <c r="C241" t="str">
        <f t="shared" si="12"/>
        <v>Fall</v>
      </c>
      <c r="D241">
        <f>IF(G241 &gt;= Table4[[#Totals],[Pax]], 1, 0)</f>
        <v>1</v>
      </c>
      <c r="E241" s="1">
        <v>62482296</v>
      </c>
      <c r="F241" s="1">
        <v>9405384</v>
      </c>
      <c r="G241" s="1">
        <v>71887680</v>
      </c>
      <c r="H241" s="1">
        <f t="shared" si="15"/>
        <v>71896946</v>
      </c>
      <c r="I241" s="1">
        <v>596437</v>
      </c>
      <c r="J241" s="1">
        <v>67511</v>
      </c>
      <c r="K241" s="1">
        <v>663948</v>
      </c>
      <c r="L241" s="1">
        <v>59724506</v>
      </c>
      <c r="M241" s="1">
        <v>22595815</v>
      </c>
      <c r="N241" s="1">
        <v>82320321</v>
      </c>
      <c r="O241" s="1">
        <v>71301260</v>
      </c>
      <c r="P241" s="1">
        <v>27343999</v>
      </c>
      <c r="Q241" s="1">
        <v>98645259</v>
      </c>
      <c r="R241">
        <v>83.76</v>
      </c>
      <c r="S241">
        <v>82.64</v>
      </c>
      <c r="T241">
        <v>83.45</v>
      </c>
      <c r="U241" s="2">
        <f t="shared" si="13"/>
        <v>44896</v>
      </c>
      <c r="V241" t="str">
        <f t="shared" si="14"/>
        <v>Winter</v>
      </c>
    </row>
    <row r="242" spans="1:22" x14ac:dyDescent="0.35">
      <c r="A242">
        <v>2023</v>
      </c>
      <c r="B242">
        <v>1</v>
      </c>
      <c r="C242" t="str">
        <f t="shared" si="12"/>
        <v>Winter</v>
      </c>
      <c r="D242">
        <f>IF(G242 &gt;= Table4[[#Totals],[Pax]], 1, 0)</f>
        <v>1</v>
      </c>
      <c r="E242" s="1">
        <v>58284200</v>
      </c>
      <c r="F242" s="1">
        <v>9066833</v>
      </c>
      <c r="G242" s="1">
        <v>67351033</v>
      </c>
      <c r="H242" s="1">
        <f t="shared" si="15"/>
        <v>71887680</v>
      </c>
      <c r="I242" s="1">
        <v>605944</v>
      </c>
      <c r="J242" s="1">
        <v>66859</v>
      </c>
      <c r="K242" s="1">
        <v>672803</v>
      </c>
      <c r="L242" s="1">
        <v>55627743</v>
      </c>
      <c r="M242" s="1">
        <v>21021245</v>
      </c>
      <c r="N242" s="1">
        <v>76648988</v>
      </c>
      <c r="O242" s="1">
        <v>72122699</v>
      </c>
      <c r="P242" s="1">
        <v>26809510</v>
      </c>
      <c r="Q242" s="1">
        <v>98932209</v>
      </c>
      <c r="R242">
        <v>77.13</v>
      </c>
      <c r="S242">
        <v>78.41</v>
      </c>
      <c r="T242">
        <v>77.48</v>
      </c>
      <c r="U242" s="2">
        <f t="shared" si="13"/>
        <v>44927</v>
      </c>
      <c r="V242" t="str">
        <f t="shared" si="14"/>
        <v>Winter</v>
      </c>
    </row>
    <row r="243" spans="1:22" x14ac:dyDescent="0.35">
      <c r="A243">
        <v>2023</v>
      </c>
      <c r="B243">
        <v>2</v>
      </c>
      <c r="C243" t="str">
        <f t="shared" si="12"/>
        <v>Winter</v>
      </c>
      <c r="D243">
        <f>IF(G243 &gt;= Table4[[#Totals],[Pax]], 1, 0)</f>
        <v>1</v>
      </c>
      <c r="E243" s="1">
        <v>56729998</v>
      </c>
      <c r="F243" s="1">
        <v>8066893</v>
      </c>
      <c r="G243" s="1">
        <v>64796891</v>
      </c>
      <c r="H243" s="1">
        <f t="shared" si="15"/>
        <v>67351033</v>
      </c>
      <c r="I243" s="1">
        <v>567702</v>
      </c>
      <c r="J243" s="1">
        <v>60643</v>
      </c>
      <c r="K243" s="1">
        <v>628345</v>
      </c>
      <c r="L243" s="1">
        <v>53329402</v>
      </c>
      <c r="M243" s="1">
        <v>18254936</v>
      </c>
      <c r="N243" s="1">
        <v>71584338</v>
      </c>
      <c r="O243" s="1">
        <v>67037368</v>
      </c>
      <c r="P243" s="1">
        <v>24211736</v>
      </c>
      <c r="Q243" s="1">
        <v>91249104</v>
      </c>
      <c r="R243">
        <v>79.55</v>
      </c>
      <c r="S243">
        <v>75.400000000000006</v>
      </c>
      <c r="T243">
        <v>78.45</v>
      </c>
      <c r="U243" s="2">
        <f t="shared" si="13"/>
        <v>44958</v>
      </c>
      <c r="V243" t="str">
        <f t="shared" si="14"/>
        <v>Winter</v>
      </c>
    </row>
    <row r="244" spans="1:22" x14ac:dyDescent="0.35">
      <c r="A244">
        <v>2023</v>
      </c>
      <c r="B244">
        <v>3</v>
      </c>
      <c r="C244" t="str">
        <f t="shared" si="12"/>
        <v>Spring</v>
      </c>
      <c r="D244">
        <f>IF(G244 &gt;= Table4[[#Totals],[Pax]], 1, 0)</f>
        <v>1</v>
      </c>
      <c r="E244" s="1">
        <v>69708556</v>
      </c>
      <c r="F244" s="1">
        <v>10094584</v>
      </c>
      <c r="G244" s="1">
        <v>79803140</v>
      </c>
      <c r="H244" s="1">
        <f t="shared" si="15"/>
        <v>64796891</v>
      </c>
      <c r="I244" s="1">
        <v>655836</v>
      </c>
      <c r="J244" s="1">
        <v>71076</v>
      </c>
      <c r="K244" s="1">
        <v>726912</v>
      </c>
      <c r="L244" s="1">
        <v>65767207</v>
      </c>
      <c r="M244" s="1">
        <v>23802743</v>
      </c>
      <c r="N244" s="1">
        <v>89569950</v>
      </c>
      <c r="O244" s="1">
        <v>78074142</v>
      </c>
      <c r="P244" s="1">
        <v>28689319</v>
      </c>
      <c r="Q244" s="1">
        <v>106763461</v>
      </c>
      <c r="R244">
        <v>84.24</v>
      </c>
      <c r="S244">
        <v>82.97</v>
      </c>
      <c r="T244">
        <v>83.9</v>
      </c>
      <c r="U244" s="2">
        <f t="shared" si="13"/>
        <v>44986</v>
      </c>
      <c r="V244" t="str">
        <f t="shared" si="14"/>
        <v>Spring</v>
      </c>
    </row>
    <row r="245" spans="1:22" x14ac:dyDescent="0.35">
      <c r="A245">
        <v>2023</v>
      </c>
      <c r="B245">
        <v>4</v>
      </c>
      <c r="C245" t="str">
        <f t="shared" si="12"/>
        <v>Spring</v>
      </c>
      <c r="D245">
        <f>IF(G245 &gt;= Table4[[#Totals],[Pax]], 1, 0)</f>
        <v>1</v>
      </c>
      <c r="E245" s="1">
        <v>67571574</v>
      </c>
      <c r="F245" s="1">
        <v>10008645</v>
      </c>
      <c r="G245" s="1">
        <v>77580219</v>
      </c>
      <c r="H245" s="1">
        <f t="shared" si="15"/>
        <v>79803140</v>
      </c>
      <c r="I245" s="1">
        <v>636160</v>
      </c>
      <c r="J245" s="1">
        <v>70078</v>
      </c>
      <c r="K245" s="1">
        <v>706238</v>
      </c>
      <c r="L245" s="1">
        <v>63426143</v>
      </c>
      <c r="M245" s="1">
        <v>24708597</v>
      </c>
      <c r="N245" s="1">
        <v>88134739</v>
      </c>
      <c r="O245" s="1">
        <v>74335449</v>
      </c>
      <c r="P245" s="1">
        <v>29988666</v>
      </c>
      <c r="Q245" s="1">
        <v>104324115</v>
      </c>
      <c r="R245">
        <v>85.32</v>
      </c>
      <c r="S245">
        <v>82.39</v>
      </c>
      <c r="T245">
        <v>84.48</v>
      </c>
      <c r="U245" s="2">
        <f t="shared" si="13"/>
        <v>45017</v>
      </c>
      <c r="V245" t="str">
        <f t="shared" si="14"/>
        <v>Spring</v>
      </c>
    </row>
    <row r="246" spans="1:22" x14ac:dyDescent="0.35">
      <c r="A246">
        <v>2023</v>
      </c>
      <c r="B246">
        <v>5</v>
      </c>
      <c r="C246" t="str">
        <f t="shared" si="12"/>
        <v>Spring</v>
      </c>
      <c r="D246">
        <f>IF(G246 &gt;= Table4[[#Totals],[Pax]], 1, 0)</f>
        <v>1</v>
      </c>
      <c r="E246" s="1">
        <v>71423653</v>
      </c>
      <c r="F246" s="1">
        <v>10358666</v>
      </c>
      <c r="G246" s="1">
        <v>81782319</v>
      </c>
      <c r="H246" s="1">
        <f t="shared" si="15"/>
        <v>77580219</v>
      </c>
      <c r="I246" s="1">
        <v>667331</v>
      </c>
      <c r="J246" s="1">
        <v>71924</v>
      </c>
      <c r="K246" s="1">
        <v>739255</v>
      </c>
      <c r="L246" s="1">
        <v>66743565</v>
      </c>
      <c r="M246" s="1">
        <v>26805432</v>
      </c>
      <c r="N246" s="1">
        <v>93548998</v>
      </c>
      <c r="O246" s="1">
        <v>77821407</v>
      </c>
      <c r="P246" s="1">
        <v>31950687</v>
      </c>
      <c r="Q246" s="1">
        <v>109772094</v>
      </c>
      <c r="R246">
        <v>85.77</v>
      </c>
      <c r="S246">
        <v>83.9</v>
      </c>
      <c r="T246">
        <v>85.22</v>
      </c>
      <c r="U246" s="2">
        <f t="shared" si="13"/>
        <v>45047</v>
      </c>
      <c r="V246" t="str">
        <f t="shared" si="14"/>
        <v>Spring</v>
      </c>
    </row>
    <row r="247" spans="1:22" x14ac:dyDescent="0.35">
      <c r="A247">
        <v>2023</v>
      </c>
      <c r="B247">
        <v>6</v>
      </c>
      <c r="C247" t="str">
        <f t="shared" si="12"/>
        <v>Summer</v>
      </c>
      <c r="D247">
        <f>IF(G247 &gt;= Table4[[#Totals],[Pax]], 1, 0)</f>
        <v>1</v>
      </c>
      <c r="E247" s="1">
        <v>72482621</v>
      </c>
      <c r="F247" s="1">
        <v>11544505</v>
      </c>
      <c r="G247" s="1">
        <v>84027126</v>
      </c>
      <c r="H247" s="1">
        <f t="shared" si="15"/>
        <v>81782319</v>
      </c>
      <c r="I247" s="1">
        <v>661293</v>
      </c>
      <c r="J247" s="1">
        <v>75279</v>
      </c>
      <c r="K247" s="1">
        <v>736572</v>
      </c>
      <c r="L247" s="1">
        <v>68789127</v>
      </c>
      <c r="M247" s="1">
        <v>29883465</v>
      </c>
      <c r="N247" s="1">
        <v>98672591</v>
      </c>
      <c r="O247" s="1">
        <v>78058358</v>
      </c>
      <c r="P247" s="1">
        <v>33410671</v>
      </c>
      <c r="Q247" s="1">
        <v>111469028</v>
      </c>
      <c r="R247">
        <v>88.13</v>
      </c>
      <c r="S247">
        <v>89.44</v>
      </c>
      <c r="T247">
        <v>88.52</v>
      </c>
      <c r="U247" s="2">
        <f t="shared" si="13"/>
        <v>45078</v>
      </c>
      <c r="V247" t="str">
        <f t="shared" si="14"/>
        <v>Summer</v>
      </c>
    </row>
    <row r="248" spans="1:22" x14ac:dyDescent="0.35">
      <c r="A248">
        <v>2023</v>
      </c>
      <c r="B248">
        <v>7</v>
      </c>
      <c r="C248" t="str">
        <f t="shared" si="12"/>
        <v>Summer</v>
      </c>
      <c r="D248">
        <f>IF(G248 &gt;= Table4[[#Totals],[Pax]], 1, 0)</f>
        <v>1</v>
      </c>
      <c r="E248" s="1">
        <v>75378157</v>
      </c>
      <c r="F248" s="1">
        <v>12432615</v>
      </c>
      <c r="G248" s="1">
        <v>87810772</v>
      </c>
      <c r="H248" s="1">
        <f t="shared" si="15"/>
        <v>84027126</v>
      </c>
      <c r="I248" s="1">
        <v>684939</v>
      </c>
      <c r="J248" s="1">
        <v>79738</v>
      </c>
      <c r="K248" s="1">
        <v>764677</v>
      </c>
      <c r="L248" s="1">
        <v>72267904</v>
      </c>
      <c r="M248" s="1">
        <v>31376000</v>
      </c>
      <c r="N248" s="1">
        <v>103643904</v>
      </c>
      <c r="O248" s="1">
        <v>81986010</v>
      </c>
      <c r="P248" s="1">
        <v>35326191</v>
      </c>
      <c r="Q248" s="1">
        <v>117312202</v>
      </c>
      <c r="R248">
        <v>88.15</v>
      </c>
      <c r="S248">
        <v>88.82</v>
      </c>
      <c r="T248">
        <v>88.35</v>
      </c>
      <c r="U248" s="2">
        <f t="shared" si="13"/>
        <v>45108</v>
      </c>
      <c r="V248" t="str">
        <f t="shared" si="14"/>
        <v>Summer</v>
      </c>
    </row>
    <row r="249" spans="1:22" x14ac:dyDescent="0.35">
      <c r="A249">
        <v>2023</v>
      </c>
      <c r="B249">
        <v>8</v>
      </c>
      <c r="C249" t="str">
        <f t="shared" si="12"/>
        <v>Summer</v>
      </c>
      <c r="D249">
        <f>IF(G249 &gt;= Table4[[#Totals],[Pax]], 1, 0)</f>
        <v>1</v>
      </c>
      <c r="E249" s="1">
        <v>71477988</v>
      </c>
      <c r="F249" s="1">
        <v>11572149</v>
      </c>
      <c r="G249" s="1">
        <v>83050137</v>
      </c>
      <c r="H249" s="1">
        <f t="shared" si="15"/>
        <v>87810772</v>
      </c>
      <c r="I249" s="1">
        <v>691482</v>
      </c>
      <c r="J249" s="1">
        <v>77137</v>
      </c>
      <c r="K249" s="1">
        <v>768619</v>
      </c>
      <c r="L249" s="1">
        <v>67933484</v>
      </c>
      <c r="M249" s="1">
        <v>29938507</v>
      </c>
      <c r="N249" s="1">
        <v>97871992</v>
      </c>
      <c r="O249" s="1">
        <v>81997399</v>
      </c>
      <c r="P249" s="1">
        <v>34908793</v>
      </c>
      <c r="Q249" s="1">
        <v>116906192</v>
      </c>
      <c r="R249">
        <v>82.85</v>
      </c>
      <c r="S249">
        <v>85.76</v>
      </c>
      <c r="T249">
        <v>83.72</v>
      </c>
      <c r="U249" s="2">
        <f t="shared" si="13"/>
        <v>45139</v>
      </c>
      <c r="V249" t="str">
        <f t="shared" si="14"/>
        <v>Summer</v>
      </c>
    </row>
    <row r="250" spans="1:22" x14ac:dyDescent="0.35">
      <c r="A250">
        <v>2023</v>
      </c>
      <c r="B250">
        <v>9</v>
      </c>
      <c r="C250" t="str">
        <f t="shared" si="12"/>
        <v>Fall</v>
      </c>
      <c r="D250">
        <f>IF(G250 &gt;= Table4[[#Totals],[Pax]], 1, 0)</f>
        <v>1</v>
      </c>
      <c r="E250" s="1">
        <v>66858490</v>
      </c>
      <c r="F250" s="1">
        <v>9392985</v>
      </c>
      <c r="G250" s="1">
        <v>76251475</v>
      </c>
      <c r="H250" s="1">
        <f t="shared" si="15"/>
        <v>83050137</v>
      </c>
      <c r="I250" s="1">
        <v>649308</v>
      </c>
      <c r="J250" s="1">
        <v>64241</v>
      </c>
      <c r="K250" s="1">
        <v>713549</v>
      </c>
      <c r="L250" s="1">
        <v>61777546</v>
      </c>
      <c r="M250" s="1">
        <v>26076318</v>
      </c>
      <c r="N250" s="1">
        <v>87853864</v>
      </c>
      <c r="O250" s="1">
        <v>75748336</v>
      </c>
      <c r="P250" s="1">
        <v>31231710</v>
      </c>
      <c r="Q250" s="1">
        <v>106980046</v>
      </c>
      <c r="R250">
        <v>81.56</v>
      </c>
      <c r="S250">
        <v>83.49</v>
      </c>
      <c r="T250">
        <v>82.12</v>
      </c>
      <c r="U250" s="2">
        <f t="shared" si="13"/>
        <v>45170</v>
      </c>
      <c r="V250" t="str">
        <f t="shared" si="14"/>
        <v>Fall</v>
      </c>
    </row>
    <row r="251" spans="1:22" x14ac:dyDescent="0.35">
      <c r="G251" s="1">
        <f>AVERAGE(G2:G250)</f>
        <v>62601919.349397592</v>
      </c>
      <c r="U251" s="2"/>
    </row>
    <row r="253" spans="1:22" x14ac:dyDescent="0.35">
      <c r="A253" t="s">
        <v>19</v>
      </c>
      <c r="B253" t="str">
        <f>IF(E2 + F2 = G2, "OK", "Mismatch")</f>
        <v>OK</v>
      </c>
      <c r="F253" s="1" t="s">
        <v>18</v>
      </c>
      <c r="G253" s="1">
        <f>MEDIAN(F2:F999)</f>
        <v>7419187</v>
      </c>
    </row>
  </sheetData>
  <pageMargins left="0.7" right="0.7" top="0.75" bottom="0.75" header="0.3" footer="0.3"/>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F591D-73AE-4001-8ED3-DE0A3D755FB1}">
  <dimension ref="A1:P251"/>
  <sheetViews>
    <sheetView tabSelected="1" topLeftCell="A231" zoomScale="82" workbookViewId="0">
      <selection activeCell="I244" sqref="I244"/>
    </sheetView>
  </sheetViews>
  <sheetFormatPr defaultRowHeight="14.5" x14ac:dyDescent="0.35"/>
  <cols>
    <col min="3" max="3" width="16.36328125" customWidth="1"/>
    <col min="4" max="5" width="11.36328125" bestFit="1" customWidth="1"/>
    <col min="6" max="6" width="8.90625" customWidth="1"/>
    <col min="7" max="7" width="16.26953125" customWidth="1"/>
    <col min="8" max="8" width="16" customWidth="1"/>
    <col min="9" max="9" width="12.36328125" customWidth="1"/>
    <col min="10" max="10" width="14.54296875" bestFit="1" customWidth="1"/>
    <col min="11" max="11" width="13.90625" customWidth="1"/>
    <col min="12" max="12" width="14.36328125" customWidth="1"/>
    <col min="13" max="13" width="12.6328125" bestFit="1" customWidth="1"/>
  </cols>
  <sheetData>
    <row r="1" spans="1:16" x14ac:dyDescent="0.35">
      <c r="A1" s="18" t="s">
        <v>1</v>
      </c>
      <c r="B1" s="19" t="s">
        <v>0</v>
      </c>
      <c r="C1" s="20" t="s">
        <v>4</v>
      </c>
      <c r="D1" s="20" t="s">
        <v>2</v>
      </c>
      <c r="E1" s="20" t="s">
        <v>3</v>
      </c>
      <c r="F1" s="18" t="s">
        <v>17</v>
      </c>
      <c r="G1" t="s">
        <v>20</v>
      </c>
      <c r="H1" s="21" t="s">
        <v>209</v>
      </c>
      <c r="I1" s="22" t="s">
        <v>210</v>
      </c>
      <c r="J1" s="22" t="s">
        <v>211</v>
      </c>
      <c r="K1" s="22" t="s">
        <v>212</v>
      </c>
      <c r="L1" s="22" t="s">
        <v>213</v>
      </c>
      <c r="M1" s="22" t="s">
        <v>214</v>
      </c>
    </row>
    <row r="2" spans="1:16" x14ac:dyDescent="0.35">
      <c r="A2" s="7">
        <v>1</v>
      </c>
      <c r="B2" s="6">
        <v>2003</v>
      </c>
      <c r="C2" s="10">
        <v>47938280</v>
      </c>
      <c r="D2" s="10">
        <v>43032450</v>
      </c>
      <c r="E2" s="10">
        <v>4905830</v>
      </c>
      <c r="F2" s="7" t="str">
        <f t="shared" ref="F2:F65" si="0">IF(E2&lt;=2,"Winter",
 IF(E2&lt;=5,"Spring",
 IF(E2&lt;=8,"Summer","Fall")))</f>
        <v>Fall</v>
      </c>
      <c r="G2">
        <f>Table4[[#This Row],[High_Traffic]]</f>
        <v>0</v>
      </c>
      <c r="H2" s="12">
        <f>IF(C2 &gt;= Table4[[#Totals],[Pax]], 1, 0)</f>
        <v>0</v>
      </c>
      <c r="I2" s="13">
        <f t="shared" ref="I2:I65" si="1">IF(G2=H2,1,0)</f>
        <v>1</v>
      </c>
      <c r="J2" s="14"/>
      <c r="K2" s="14">
        <f>IF(C2 &gt;= Table5[[#Totals],[Pax]], 1, 0)</f>
        <v>0</v>
      </c>
      <c r="L2" s="14">
        <f>IF(C2 &gt;= Table5[[#Totals],[Pax]], 1, 0)</f>
        <v>0</v>
      </c>
      <c r="M2" s="14">
        <f t="shared" ref="M2:M65" si="2">IF(L2 = G2, 1, 0)</f>
        <v>1</v>
      </c>
      <c r="O2" t="s">
        <v>215</v>
      </c>
      <c r="P2" t="e">
        <f>INDEX(LOGEST(Table5[High_Traffic], Table5[Pax], TRUE, TRUE), 1, 1)</f>
        <v>#NUM!</v>
      </c>
    </row>
    <row r="3" spans="1:16" x14ac:dyDescent="0.35">
      <c r="A3" s="9">
        <v>2</v>
      </c>
      <c r="B3" s="8">
        <v>2003</v>
      </c>
      <c r="C3" s="11">
        <v>45412146</v>
      </c>
      <c r="D3" s="11">
        <v>41166780</v>
      </c>
      <c r="E3" s="11">
        <v>4245366</v>
      </c>
      <c r="F3" s="9" t="str">
        <f t="shared" si="0"/>
        <v>Fall</v>
      </c>
      <c r="G3">
        <f>Table4[[#This Row],[High_Traffic]]</f>
        <v>0</v>
      </c>
      <c r="H3" s="15">
        <f>IF(C3 &gt;= Table4[[#Totals],[Pax]], 1, 0)</f>
        <v>0</v>
      </c>
      <c r="I3" s="16">
        <f t="shared" si="1"/>
        <v>1</v>
      </c>
      <c r="J3" s="17"/>
      <c r="K3" s="17">
        <f>IF(C3 &gt;= Table5[[#Totals],[Pax]], 1, 0)</f>
        <v>0</v>
      </c>
      <c r="L3" s="17">
        <f>IF(C3 &gt;= Table5[[#Totals],[Pax]], 1, 0)</f>
        <v>0</v>
      </c>
      <c r="M3" s="17">
        <f t="shared" si="2"/>
        <v>1</v>
      </c>
      <c r="O3" t="s">
        <v>216</v>
      </c>
      <c r="P3" t="e">
        <f>INDEX(LOGEST(Table5[High_Traffic], Table5[Pax], TRUE, TRUE), 1, 2)</f>
        <v>#NUM!</v>
      </c>
    </row>
    <row r="4" spans="1:16" x14ac:dyDescent="0.35">
      <c r="A4" s="7">
        <v>3</v>
      </c>
      <c r="B4" s="6">
        <v>2003</v>
      </c>
      <c r="C4" s="10">
        <v>55001313</v>
      </c>
      <c r="D4" s="10">
        <v>49992700</v>
      </c>
      <c r="E4" s="10">
        <v>5008613</v>
      </c>
      <c r="F4" s="7" t="str">
        <f t="shared" si="0"/>
        <v>Fall</v>
      </c>
      <c r="G4">
        <f>Table4[[#This Row],[High_Traffic]]</f>
        <v>0</v>
      </c>
      <c r="H4" s="12">
        <f>IF(C4 &gt;= Table4[[#Totals],[Pax]], 1, 0)</f>
        <v>0</v>
      </c>
      <c r="I4" s="13">
        <f t="shared" si="1"/>
        <v>1</v>
      </c>
      <c r="J4" s="14"/>
      <c r="K4" s="14">
        <f>IF(C4 &gt;= Table5[[#Totals],[Pax]], 1, 0)</f>
        <v>0</v>
      </c>
      <c r="L4" s="14">
        <f>IF(C4 &gt;= Table5[[#Totals],[Pax]], 1, 0)</f>
        <v>0</v>
      </c>
      <c r="M4" s="14">
        <f t="shared" si="2"/>
        <v>1</v>
      </c>
    </row>
    <row r="5" spans="1:16" x14ac:dyDescent="0.35">
      <c r="A5" s="9">
        <v>4</v>
      </c>
      <c r="B5" s="8">
        <v>2003</v>
      </c>
      <c r="C5" s="11">
        <v>51378704</v>
      </c>
      <c r="D5" s="11">
        <v>47033260</v>
      </c>
      <c r="E5" s="11">
        <v>4345444</v>
      </c>
      <c r="F5" s="9" t="str">
        <f t="shared" si="0"/>
        <v>Fall</v>
      </c>
      <c r="G5">
        <f>Table4[[#This Row],[High_Traffic]]</f>
        <v>0</v>
      </c>
      <c r="H5" s="15">
        <f>IF(C5 &gt;= Table4[[#Totals],[Pax]], 1, 0)</f>
        <v>0</v>
      </c>
      <c r="I5" s="16">
        <f t="shared" si="1"/>
        <v>1</v>
      </c>
      <c r="J5" s="17"/>
      <c r="K5" s="17">
        <f>IF(C5 &gt;= Table5[[#Totals],[Pax]], 1, 0)</f>
        <v>0</v>
      </c>
      <c r="L5" s="17">
        <f>IF(C5 &gt;= Table5[[#Totals],[Pax]], 1, 0)</f>
        <v>0</v>
      </c>
      <c r="M5" s="17">
        <f t="shared" si="2"/>
        <v>1</v>
      </c>
      <c r="O5">
        <f>COUNTIF(Table5[High_Traffic],1)</f>
        <v>136</v>
      </c>
    </row>
    <row r="6" spans="1:16" x14ac:dyDescent="0.35">
      <c r="A6" s="7">
        <v>5</v>
      </c>
      <c r="B6" s="6">
        <v>2003</v>
      </c>
      <c r="C6" s="10">
        <v>53763186</v>
      </c>
      <c r="D6" s="10">
        <v>49152352</v>
      </c>
      <c r="E6" s="10">
        <v>4610834</v>
      </c>
      <c r="F6" s="7" t="str">
        <f t="shared" si="0"/>
        <v>Fall</v>
      </c>
      <c r="G6">
        <f>Table4[[#This Row],[High_Traffic]]</f>
        <v>0</v>
      </c>
      <c r="H6" s="12">
        <f>IF(C6 &gt;= Table4[[#Totals],[Pax]], 1, 0)</f>
        <v>0</v>
      </c>
      <c r="I6" s="13">
        <f t="shared" si="1"/>
        <v>1</v>
      </c>
      <c r="J6" s="14"/>
      <c r="K6" s="14">
        <f>IF(C6 &gt;= Table5[[#Totals],[Pax]], 1, 0)</f>
        <v>0</v>
      </c>
      <c r="L6" s="14">
        <f>IF(C6 &gt;= Table5[[#Totals],[Pax]], 1, 0)</f>
        <v>0</v>
      </c>
      <c r="M6" s="14">
        <f t="shared" si="2"/>
        <v>1</v>
      </c>
      <c r="O6">
        <f>COUNTIF(Table5[High_Traffic],0)</f>
        <v>113</v>
      </c>
    </row>
    <row r="7" spans="1:16" x14ac:dyDescent="0.35">
      <c r="A7" s="9">
        <v>6</v>
      </c>
      <c r="B7" s="8">
        <v>2003</v>
      </c>
      <c r="C7" s="11">
        <v>57621020</v>
      </c>
      <c r="D7" s="11">
        <v>52209516</v>
      </c>
      <c r="E7" s="11">
        <v>5411504</v>
      </c>
      <c r="F7" s="9" t="str">
        <f t="shared" si="0"/>
        <v>Fall</v>
      </c>
      <c r="G7">
        <f>Table4[[#This Row],[High_Traffic]]</f>
        <v>0</v>
      </c>
      <c r="H7" s="15">
        <f>IF(C7 &gt;= Table4[[#Totals],[Pax]], 1, 0)</f>
        <v>0</v>
      </c>
      <c r="I7" s="16">
        <f t="shared" si="1"/>
        <v>1</v>
      </c>
      <c r="J7" s="17"/>
      <c r="K7" s="17">
        <f>IF(C7 &gt;= Table5[[#Totals],[Pax]], 1, 0)</f>
        <v>0</v>
      </c>
      <c r="L7" s="17">
        <f>IF(C7 &gt;= Table5[[#Totals],[Pax]], 1, 0)</f>
        <v>0</v>
      </c>
      <c r="M7" s="17">
        <f t="shared" si="2"/>
        <v>1</v>
      </c>
    </row>
    <row r="8" spans="1:16" x14ac:dyDescent="0.35">
      <c r="A8" s="7">
        <v>7</v>
      </c>
      <c r="B8" s="6">
        <v>2003</v>
      </c>
      <c r="C8" s="10">
        <v>62001893</v>
      </c>
      <c r="D8" s="10">
        <v>55810773</v>
      </c>
      <c r="E8" s="10">
        <v>6191120</v>
      </c>
      <c r="F8" s="7" t="str">
        <f t="shared" si="0"/>
        <v>Fall</v>
      </c>
      <c r="G8">
        <f>Table4[[#This Row],[High_Traffic]]</f>
        <v>0</v>
      </c>
      <c r="H8" s="12">
        <f>IF(C8 &gt;= Table4[[#Totals],[Pax]], 1, 0)</f>
        <v>0</v>
      </c>
      <c r="I8" s="13">
        <f t="shared" si="1"/>
        <v>1</v>
      </c>
      <c r="J8" s="14"/>
      <c r="K8" s="14">
        <f>IF(C8 &gt;= Table5[[#Totals],[Pax]], 1, 0)</f>
        <v>0</v>
      </c>
      <c r="L8" s="14">
        <f>IF(C8 &gt;= Table5[[#Totals],[Pax]], 1, 0)</f>
        <v>0</v>
      </c>
      <c r="M8" s="14">
        <f t="shared" si="2"/>
        <v>1</v>
      </c>
    </row>
    <row r="9" spans="1:16" x14ac:dyDescent="0.35">
      <c r="A9" s="9">
        <v>8</v>
      </c>
      <c r="B9" s="8">
        <v>2003</v>
      </c>
      <c r="C9" s="11">
        <v>60193305</v>
      </c>
      <c r="D9" s="11">
        <v>53920973</v>
      </c>
      <c r="E9" s="11">
        <v>6272332</v>
      </c>
      <c r="F9" s="9" t="str">
        <f t="shared" si="0"/>
        <v>Fall</v>
      </c>
      <c r="G9">
        <f>Table4[[#This Row],[High_Traffic]]</f>
        <v>0</v>
      </c>
      <c r="H9" s="15">
        <f>IF(C9 &gt;= Table4[[#Totals],[Pax]], 1, 0)</f>
        <v>0</v>
      </c>
      <c r="I9" s="16">
        <f t="shared" si="1"/>
        <v>1</v>
      </c>
      <c r="J9" s="17"/>
      <c r="K9" s="17">
        <f>IF(C9 &gt;= Table5[[#Totals],[Pax]], 1, 0)</f>
        <v>0</v>
      </c>
      <c r="L9" s="17">
        <f>IF(C9 &gt;= Table5[[#Totals],[Pax]], 1, 0)</f>
        <v>0</v>
      </c>
      <c r="M9" s="17">
        <f t="shared" si="2"/>
        <v>1</v>
      </c>
    </row>
    <row r="10" spans="1:16" x14ac:dyDescent="0.35">
      <c r="A10" s="7">
        <v>9</v>
      </c>
      <c r="B10" s="6">
        <v>2003</v>
      </c>
      <c r="C10" s="10">
        <v>49038004</v>
      </c>
      <c r="D10" s="10">
        <v>44213408</v>
      </c>
      <c r="E10" s="10">
        <v>4824596</v>
      </c>
      <c r="F10" s="7" t="str">
        <f t="shared" si="0"/>
        <v>Fall</v>
      </c>
      <c r="G10">
        <f>Table4[[#This Row],[High_Traffic]]</f>
        <v>0</v>
      </c>
      <c r="H10" s="12">
        <f>IF(C10 &gt;= Table4[[#Totals],[Pax]], 1, 0)</f>
        <v>0</v>
      </c>
      <c r="I10" s="13">
        <f t="shared" si="1"/>
        <v>1</v>
      </c>
      <c r="J10" s="14"/>
      <c r="K10" s="14">
        <f>IF(C10 &gt;= Table5[[#Totals],[Pax]], 1, 0)</f>
        <v>0</v>
      </c>
      <c r="L10" s="14">
        <f>IF(C10 &gt;= Table5[[#Totals],[Pax]], 1, 0)</f>
        <v>0</v>
      </c>
      <c r="M10" s="14">
        <f t="shared" si="2"/>
        <v>1</v>
      </c>
    </row>
    <row r="11" spans="1:16" x14ac:dyDescent="0.35">
      <c r="A11" s="9">
        <v>10</v>
      </c>
      <c r="B11" s="8">
        <v>2003</v>
      </c>
      <c r="C11" s="11">
        <v>54865753</v>
      </c>
      <c r="D11" s="11">
        <v>49944931</v>
      </c>
      <c r="E11" s="11">
        <v>4920822</v>
      </c>
      <c r="F11" s="9" t="str">
        <f t="shared" si="0"/>
        <v>Fall</v>
      </c>
      <c r="G11">
        <f>Table4[[#This Row],[High_Traffic]]</f>
        <v>0</v>
      </c>
      <c r="H11" s="15">
        <f>IF(C11 &gt;= Table4[[#Totals],[Pax]], 1, 0)</f>
        <v>0</v>
      </c>
      <c r="I11" s="16">
        <f t="shared" si="1"/>
        <v>1</v>
      </c>
      <c r="J11" s="17"/>
      <c r="K11" s="17">
        <f>IF(C11 &gt;= Table5[[#Totals],[Pax]], 1, 0)</f>
        <v>0</v>
      </c>
      <c r="L11" s="17">
        <f>IF(C11 &gt;= Table5[[#Totals],[Pax]], 1, 0)</f>
        <v>0</v>
      </c>
      <c r="M11" s="17">
        <f t="shared" si="2"/>
        <v>1</v>
      </c>
    </row>
    <row r="12" spans="1:16" x14ac:dyDescent="0.35">
      <c r="A12" s="7">
        <v>11</v>
      </c>
      <c r="B12" s="6">
        <v>2003</v>
      </c>
      <c r="C12" s="10">
        <v>51905254</v>
      </c>
      <c r="D12" s="10">
        <v>47059495</v>
      </c>
      <c r="E12" s="10">
        <v>4845759</v>
      </c>
      <c r="F12" s="7" t="str">
        <f t="shared" si="0"/>
        <v>Fall</v>
      </c>
      <c r="G12">
        <f>Table4[[#This Row],[High_Traffic]]</f>
        <v>0</v>
      </c>
      <c r="H12" s="12">
        <f>IF(C12 &gt;= Table4[[#Totals],[Pax]], 1, 0)</f>
        <v>0</v>
      </c>
      <c r="I12" s="13">
        <f t="shared" si="1"/>
        <v>1</v>
      </c>
      <c r="J12" s="14"/>
      <c r="K12" s="14">
        <f>IF(C12 &gt;= Table5[[#Totals],[Pax]], 1, 0)</f>
        <v>0</v>
      </c>
      <c r="L12" s="14">
        <f>IF(C12 &gt;= Table5[[#Totals],[Pax]], 1, 0)</f>
        <v>0</v>
      </c>
      <c r="M12" s="14">
        <f t="shared" si="2"/>
        <v>1</v>
      </c>
    </row>
    <row r="13" spans="1:16" x14ac:dyDescent="0.35">
      <c r="A13" s="9">
        <v>12</v>
      </c>
      <c r="B13" s="8">
        <v>2003</v>
      </c>
      <c r="C13" s="11">
        <v>55116115</v>
      </c>
      <c r="D13" s="11">
        <v>49757124</v>
      </c>
      <c r="E13" s="11">
        <v>5358991</v>
      </c>
      <c r="F13" s="9" t="str">
        <f t="shared" si="0"/>
        <v>Fall</v>
      </c>
      <c r="G13">
        <f>Table4[[#This Row],[High_Traffic]]</f>
        <v>0</v>
      </c>
      <c r="H13" s="15">
        <f>IF(C13 &gt;= Table4[[#Totals],[Pax]], 1, 0)</f>
        <v>0</v>
      </c>
      <c r="I13" s="16">
        <f t="shared" si="1"/>
        <v>1</v>
      </c>
      <c r="J13" s="17"/>
      <c r="K13" s="17">
        <f>IF(C13 &gt;= Table5[[#Totals],[Pax]], 1, 0)</f>
        <v>0</v>
      </c>
      <c r="L13" s="17">
        <f>IF(C13 &gt;= Table5[[#Totals],[Pax]], 1, 0)</f>
        <v>0</v>
      </c>
      <c r="M13" s="17">
        <f t="shared" si="2"/>
        <v>1</v>
      </c>
    </row>
    <row r="14" spans="1:16" x14ac:dyDescent="0.35">
      <c r="A14" s="7">
        <v>1</v>
      </c>
      <c r="B14" s="6">
        <v>2004</v>
      </c>
      <c r="C14" s="10">
        <v>49070727</v>
      </c>
      <c r="D14" s="10">
        <v>43815481</v>
      </c>
      <c r="E14" s="10">
        <v>5255246</v>
      </c>
      <c r="F14" s="7" t="str">
        <f t="shared" si="0"/>
        <v>Fall</v>
      </c>
      <c r="G14">
        <f>Table4[[#This Row],[High_Traffic]]</f>
        <v>0</v>
      </c>
      <c r="H14" s="12">
        <f>IF(C14 &gt;= Table4[[#Totals],[Pax]], 1, 0)</f>
        <v>0</v>
      </c>
      <c r="I14" s="13">
        <f t="shared" si="1"/>
        <v>1</v>
      </c>
      <c r="J14" s="14"/>
      <c r="K14" s="14">
        <f>IF(C14 &gt;= Table5[[#Totals],[Pax]], 1, 0)</f>
        <v>0</v>
      </c>
      <c r="L14" s="14">
        <f>IF(C14 &gt;= Table5[[#Totals],[Pax]], 1, 0)</f>
        <v>0</v>
      </c>
      <c r="M14" s="14">
        <f t="shared" si="2"/>
        <v>1</v>
      </c>
    </row>
    <row r="15" spans="1:16" x14ac:dyDescent="0.35">
      <c r="A15" s="9">
        <v>2</v>
      </c>
      <c r="B15" s="8">
        <v>2004</v>
      </c>
      <c r="C15" s="11">
        <v>50248226</v>
      </c>
      <c r="D15" s="11">
        <v>45306597</v>
      </c>
      <c r="E15" s="11">
        <v>4941629</v>
      </c>
      <c r="F15" s="9" t="str">
        <f t="shared" si="0"/>
        <v>Fall</v>
      </c>
      <c r="G15">
        <f>Table4[[#This Row],[High_Traffic]]</f>
        <v>0</v>
      </c>
      <c r="H15" s="15">
        <f>IF(C15 &gt;= Table4[[#Totals],[Pax]], 1, 0)</f>
        <v>0</v>
      </c>
      <c r="I15" s="16">
        <f t="shared" si="1"/>
        <v>1</v>
      </c>
      <c r="J15" s="17"/>
      <c r="K15" s="17">
        <f>IF(C15 &gt;= Table5[[#Totals],[Pax]], 1, 0)</f>
        <v>0</v>
      </c>
      <c r="L15" s="17">
        <f>IF(C15 &gt;= Table5[[#Totals],[Pax]], 1, 0)</f>
        <v>0</v>
      </c>
      <c r="M15" s="17">
        <f t="shared" si="2"/>
        <v>1</v>
      </c>
    </row>
    <row r="16" spans="1:16" x14ac:dyDescent="0.35">
      <c r="A16" s="7">
        <v>3</v>
      </c>
      <c r="B16" s="6">
        <v>2004</v>
      </c>
      <c r="C16" s="10">
        <v>59952930</v>
      </c>
      <c r="D16" s="10">
        <v>54147227</v>
      </c>
      <c r="E16" s="10">
        <v>5805703</v>
      </c>
      <c r="F16" s="7" t="str">
        <f t="shared" si="0"/>
        <v>Fall</v>
      </c>
      <c r="G16">
        <f>Table4[[#This Row],[High_Traffic]]</f>
        <v>0</v>
      </c>
      <c r="H16" s="12">
        <f>IF(C16 &gt;= Table4[[#Totals],[Pax]], 1, 0)</f>
        <v>0</v>
      </c>
      <c r="I16" s="13">
        <f t="shared" si="1"/>
        <v>1</v>
      </c>
      <c r="J16" s="14"/>
      <c r="K16" s="14">
        <f>IF(C16 &gt;= Table5[[#Totals],[Pax]], 1, 0)</f>
        <v>0</v>
      </c>
      <c r="L16" s="14">
        <f>IF(C16 &gt;= Table5[[#Totals],[Pax]], 1, 0)</f>
        <v>0</v>
      </c>
      <c r="M16" s="14">
        <f t="shared" si="2"/>
        <v>1</v>
      </c>
    </row>
    <row r="17" spans="1:13" x14ac:dyDescent="0.35">
      <c r="A17" s="9">
        <v>4</v>
      </c>
      <c r="B17" s="8">
        <v>2004</v>
      </c>
      <c r="C17" s="11">
        <v>58917221</v>
      </c>
      <c r="D17" s="11">
        <v>53253194</v>
      </c>
      <c r="E17" s="11">
        <v>5664027</v>
      </c>
      <c r="F17" s="9" t="str">
        <f t="shared" si="0"/>
        <v>Fall</v>
      </c>
      <c r="G17">
        <f>Table4[[#This Row],[High_Traffic]]</f>
        <v>0</v>
      </c>
      <c r="H17" s="15">
        <f>IF(C17 &gt;= Table4[[#Totals],[Pax]], 1, 0)</f>
        <v>0</v>
      </c>
      <c r="I17" s="16">
        <f t="shared" si="1"/>
        <v>1</v>
      </c>
      <c r="J17" s="17"/>
      <c r="K17" s="17">
        <f>IF(C17 &gt;= Table5[[#Totals],[Pax]], 1, 0)</f>
        <v>0</v>
      </c>
      <c r="L17" s="17">
        <f>IF(C17 &gt;= Table5[[#Totals],[Pax]], 1, 0)</f>
        <v>0</v>
      </c>
      <c r="M17" s="17">
        <f t="shared" si="2"/>
        <v>1</v>
      </c>
    </row>
    <row r="18" spans="1:13" x14ac:dyDescent="0.35">
      <c r="A18" s="7">
        <v>5</v>
      </c>
      <c r="B18" s="6">
        <v>2004</v>
      </c>
      <c r="C18" s="10">
        <v>58798390</v>
      </c>
      <c r="D18" s="10">
        <v>53030873</v>
      </c>
      <c r="E18" s="10">
        <v>5767517</v>
      </c>
      <c r="F18" s="7" t="str">
        <f t="shared" si="0"/>
        <v>Fall</v>
      </c>
      <c r="G18">
        <f>Table4[[#This Row],[High_Traffic]]</f>
        <v>0</v>
      </c>
      <c r="H18" s="12">
        <f>IF(C18 &gt;= Table4[[#Totals],[Pax]], 1, 0)</f>
        <v>0</v>
      </c>
      <c r="I18" s="13">
        <f t="shared" si="1"/>
        <v>1</v>
      </c>
      <c r="J18" s="14"/>
      <c r="K18" s="14">
        <f>IF(C18 &gt;= Table5[[#Totals],[Pax]], 1, 0)</f>
        <v>0</v>
      </c>
      <c r="L18" s="14">
        <f>IF(C18 &gt;= Table5[[#Totals],[Pax]], 1, 0)</f>
        <v>0</v>
      </c>
      <c r="M18" s="14">
        <f t="shared" si="2"/>
        <v>1</v>
      </c>
    </row>
    <row r="19" spans="1:13" x14ac:dyDescent="0.35">
      <c r="A19" s="9">
        <v>6</v>
      </c>
      <c r="B19" s="8">
        <v>2004</v>
      </c>
      <c r="C19" s="11">
        <v>63364913</v>
      </c>
      <c r="D19" s="11">
        <v>56959142</v>
      </c>
      <c r="E19" s="11">
        <v>6405771</v>
      </c>
      <c r="F19" s="9" t="str">
        <f t="shared" si="0"/>
        <v>Fall</v>
      </c>
      <c r="G19">
        <f>Table4[[#This Row],[High_Traffic]]</f>
        <v>1</v>
      </c>
      <c r="H19" s="15">
        <f>IF(C19 &gt;= Table4[[#Totals],[Pax]], 1, 0)</f>
        <v>1</v>
      </c>
      <c r="I19" s="16">
        <f t="shared" si="1"/>
        <v>1</v>
      </c>
      <c r="J19" s="17"/>
      <c r="K19" s="17">
        <f>IF(C19 &gt;= Table5[[#Totals],[Pax]], 1, 0)</f>
        <v>1</v>
      </c>
      <c r="L19" s="17">
        <f>IF(C19 &gt;= Table5[[#Totals],[Pax]], 1, 0)</f>
        <v>1</v>
      </c>
      <c r="M19" s="17">
        <f t="shared" si="2"/>
        <v>1</v>
      </c>
    </row>
    <row r="20" spans="1:13" x14ac:dyDescent="0.35">
      <c r="A20" s="7">
        <v>7</v>
      </c>
      <c r="B20" s="6">
        <v>2004</v>
      </c>
      <c r="C20" s="10">
        <v>66797562</v>
      </c>
      <c r="D20" s="10">
        <v>59614287</v>
      </c>
      <c r="E20" s="10">
        <v>7183275</v>
      </c>
      <c r="F20" s="7" t="str">
        <f t="shared" si="0"/>
        <v>Fall</v>
      </c>
      <c r="G20">
        <f>Table4[[#This Row],[High_Traffic]]</f>
        <v>1</v>
      </c>
      <c r="H20" s="12">
        <f>IF(C20 &gt;= Table4[[#Totals],[Pax]], 1, 0)</f>
        <v>1</v>
      </c>
      <c r="I20" s="13">
        <f t="shared" si="1"/>
        <v>1</v>
      </c>
      <c r="J20" s="14"/>
      <c r="K20" s="14">
        <f>IF(C20 &gt;= Table5[[#Totals],[Pax]], 1, 0)</f>
        <v>1</v>
      </c>
      <c r="L20" s="14">
        <f>IF(C20 &gt;= Table5[[#Totals],[Pax]], 1, 0)</f>
        <v>1</v>
      </c>
      <c r="M20" s="14">
        <f t="shared" si="2"/>
        <v>1</v>
      </c>
    </row>
    <row r="21" spans="1:13" x14ac:dyDescent="0.35">
      <c r="A21" s="9">
        <v>8</v>
      </c>
      <c r="B21" s="8">
        <v>2004</v>
      </c>
      <c r="C21" s="11">
        <v>64367670</v>
      </c>
      <c r="D21" s="11">
        <v>57380873</v>
      </c>
      <c r="E21" s="11">
        <v>6986797</v>
      </c>
      <c r="F21" s="9" t="str">
        <f t="shared" si="0"/>
        <v>Fall</v>
      </c>
      <c r="G21">
        <f>Table4[[#This Row],[High_Traffic]]</f>
        <v>1</v>
      </c>
      <c r="H21" s="15">
        <f>IF(C21 &gt;= Table4[[#Totals],[Pax]], 1, 0)</f>
        <v>1</v>
      </c>
      <c r="I21" s="16">
        <f t="shared" si="1"/>
        <v>1</v>
      </c>
      <c r="J21" s="17"/>
      <c r="K21" s="17">
        <f>IF(C21 &gt;= Table5[[#Totals],[Pax]], 1, 0)</f>
        <v>1</v>
      </c>
      <c r="L21" s="17">
        <f>IF(C21 &gt;= Table5[[#Totals],[Pax]], 1, 0)</f>
        <v>1</v>
      </c>
      <c r="M21" s="17">
        <f t="shared" si="2"/>
        <v>1</v>
      </c>
    </row>
    <row r="22" spans="1:13" x14ac:dyDescent="0.35">
      <c r="A22" s="7">
        <v>9</v>
      </c>
      <c r="B22" s="6">
        <v>2004</v>
      </c>
      <c r="C22" s="10">
        <v>53068030</v>
      </c>
      <c r="D22" s="10">
        <v>47671785</v>
      </c>
      <c r="E22" s="10">
        <v>5396245</v>
      </c>
      <c r="F22" s="7" t="str">
        <f t="shared" si="0"/>
        <v>Fall</v>
      </c>
      <c r="G22">
        <f>Table4[[#This Row],[High_Traffic]]</f>
        <v>0</v>
      </c>
      <c r="H22" s="12">
        <f>IF(C22 &gt;= Table4[[#Totals],[Pax]], 1, 0)</f>
        <v>0</v>
      </c>
      <c r="I22" s="13">
        <f t="shared" si="1"/>
        <v>1</v>
      </c>
      <c r="J22" s="14"/>
      <c r="K22" s="14">
        <f>IF(C22 &gt;= Table5[[#Totals],[Pax]], 1, 0)</f>
        <v>0</v>
      </c>
      <c r="L22" s="14">
        <f>IF(C22 &gt;= Table5[[#Totals],[Pax]], 1, 0)</f>
        <v>0</v>
      </c>
      <c r="M22" s="14">
        <f t="shared" si="2"/>
        <v>1</v>
      </c>
    </row>
    <row r="23" spans="1:13" x14ac:dyDescent="0.35">
      <c r="A23" s="9">
        <v>10</v>
      </c>
      <c r="B23" s="8">
        <v>2004</v>
      </c>
      <c r="C23" s="11">
        <v>59797453</v>
      </c>
      <c r="D23" s="11">
        <v>54167489</v>
      </c>
      <c r="E23" s="11">
        <v>5629964</v>
      </c>
      <c r="F23" s="9" t="str">
        <f t="shared" si="0"/>
        <v>Fall</v>
      </c>
      <c r="G23">
        <f>Table4[[#This Row],[High_Traffic]]</f>
        <v>0</v>
      </c>
      <c r="H23" s="15">
        <f>IF(C23 &gt;= Table4[[#Totals],[Pax]], 1, 0)</f>
        <v>0</v>
      </c>
      <c r="I23" s="16">
        <f t="shared" si="1"/>
        <v>1</v>
      </c>
      <c r="J23" s="17"/>
      <c r="K23" s="17">
        <f>IF(C23 &gt;= Table5[[#Totals],[Pax]], 1, 0)</f>
        <v>0</v>
      </c>
      <c r="L23" s="17">
        <f>IF(C23 &gt;= Table5[[#Totals],[Pax]], 1, 0)</f>
        <v>0</v>
      </c>
      <c r="M23" s="17">
        <f t="shared" si="2"/>
        <v>1</v>
      </c>
    </row>
    <row r="24" spans="1:13" x14ac:dyDescent="0.35">
      <c r="A24" s="7">
        <v>11</v>
      </c>
      <c r="B24" s="6">
        <v>2004</v>
      </c>
      <c r="C24" s="10">
        <v>57165914</v>
      </c>
      <c r="D24" s="10">
        <v>51781700</v>
      </c>
      <c r="E24" s="10">
        <v>5384214</v>
      </c>
      <c r="F24" s="7" t="str">
        <f t="shared" si="0"/>
        <v>Fall</v>
      </c>
      <c r="G24">
        <f>Table4[[#This Row],[High_Traffic]]</f>
        <v>0</v>
      </c>
      <c r="H24" s="12">
        <f>IF(C24 &gt;= Table4[[#Totals],[Pax]], 1, 0)</f>
        <v>0</v>
      </c>
      <c r="I24" s="13">
        <f t="shared" si="1"/>
        <v>1</v>
      </c>
      <c r="J24" s="14"/>
      <c r="K24" s="14">
        <f>IF(C24 &gt;= Table5[[#Totals],[Pax]], 1, 0)</f>
        <v>0</v>
      </c>
      <c r="L24" s="14">
        <f>IF(C24 &gt;= Table5[[#Totals],[Pax]], 1, 0)</f>
        <v>0</v>
      </c>
      <c r="M24" s="14">
        <f t="shared" si="2"/>
        <v>1</v>
      </c>
    </row>
    <row r="25" spans="1:13" x14ac:dyDescent="0.35">
      <c r="A25" s="9">
        <v>12</v>
      </c>
      <c r="B25" s="8">
        <v>2004</v>
      </c>
      <c r="C25" s="11">
        <v>58681691</v>
      </c>
      <c r="D25" s="11">
        <v>52639838</v>
      </c>
      <c r="E25" s="11">
        <v>6041853</v>
      </c>
      <c r="F25" s="9" t="str">
        <f t="shared" si="0"/>
        <v>Fall</v>
      </c>
      <c r="G25">
        <f>Table4[[#This Row],[High_Traffic]]</f>
        <v>0</v>
      </c>
      <c r="H25" s="15">
        <f>IF(C25 &gt;= Table4[[#Totals],[Pax]], 1, 0)</f>
        <v>0</v>
      </c>
      <c r="I25" s="16">
        <f t="shared" si="1"/>
        <v>1</v>
      </c>
      <c r="J25" s="17"/>
      <c r="K25" s="17">
        <f>IF(C25 &gt;= Table5[[#Totals],[Pax]], 1, 0)</f>
        <v>0</v>
      </c>
      <c r="L25" s="17">
        <f>IF(C25 &gt;= Table5[[#Totals],[Pax]], 1, 0)</f>
        <v>0</v>
      </c>
      <c r="M25" s="17">
        <f t="shared" si="2"/>
        <v>1</v>
      </c>
    </row>
    <row r="26" spans="1:13" x14ac:dyDescent="0.35">
      <c r="A26" s="7">
        <v>1</v>
      </c>
      <c r="B26" s="6">
        <v>2005</v>
      </c>
      <c r="C26" s="10">
        <v>54136166</v>
      </c>
      <c r="D26" s="10">
        <v>47977657</v>
      </c>
      <c r="E26" s="10">
        <v>6158509</v>
      </c>
      <c r="F26" s="7" t="str">
        <f t="shared" si="0"/>
        <v>Fall</v>
      </c>
      <c r="G26">
        <f>Table4[[#This Row],[High_Traffic]]</f>
        <v>0</v>
      </c>
      <c r="H26" s="12">
        <f>IF(C26 &gt;= Table4[[#Totals],[Pax]], 1, 0)</f>
        <v>0</v>
      </c>
      <c r="I26" s="13">
        <f t="shared" si="1"/>
        <v>1</v>
      </c>
      <c r="J26" s="14"/>
      <c r="K26" s="14">
        <f>IF(C26 &gt;= Table5[[#Totals],[Pax]], 1, 0)</f>
        <v>0</v>
      </c>
      <c r="L26" s="14">
        <f>IF(C26 &gt;= Table5[[#Totals],[Pax]], 1, 0)</f>
        <v>0</v>
      </c>
      <c r="M26" s="14">
        <f t="shared" si="2"/>
        <v>1</v>
      </c>
    </row>
    <row r="27" spans="1:13" x14ac:dyDescent="0.35">
      <c r="A27" s="9">
        <v>2</v>
      </c>
      <c r="B27" s="8">
        <v>2005</v>
      </c>
      <c r="C27" s="11">
        <v>52574472</v>
      </c>
      <c r="D27" s="11">
        <v>47074882</v>
      </c>
      <c r="E27" s="11">
        <v>5499590</v>
      </c>
      <c r="F27" s="9" t="str">
        <f t="shared" si="0"/>
        <v>Fall</v>
      </c>
      <c r="G27">
        <f>Table4[[#This Row],[High_Traffic]]</f>
        <v>0</v>
      </c>
      <c r="H27" s="15">
        <f>IF(C27 &gt;= Table4[[#Totals],[Pax]], 1, 0)</f>
        <v>0</v>
      </c>
      <c r="I27" s="16">
        <f t="shared" si="1"/>
        <v>1</v>
      </c>
      <c r="J27" s="17"/>
      <c r="K27" s="17">
        <f>IF(C27 &gt;= Table5[[#Totals],[Pax]], 1, 0)</f>
        <v>0</v>
      </c>
      <c r="L27" s="17">
        <f>IF(C27 &gt;= Table5[[#Totals],[Pax]], 1, 0)</f>
        <v>0</v>
      </c>
      <c r="M27" s="17">
        <f t="shared" si="2"/>
        <v>1</v>
      </c>
    </row>
    <row r="28" spans="1:13" x14ac:dyDescent="0.35">
      <c r="A28" s="7">
        <v>3</v>
      </c>
      <c r="B28" s="6">
        <v>2005</v>
      </c>
      <c r="C28" s="10">
        <v>65803288</v>
      </c>
      <c r="D28" s="10">
        <v>58838975</v>
      </c>
      <c r="E28" s="10">
        <v>6964313</v>
      </c>
      <c r="F28" s="7" t="str">
        <f t="shared" si="0"/>
        <v>Fall</v>
      </c>
      <c r="G28">
        <f>Table4[[#This Row],[High_Traffic]]</f>
        <v>1</v>
      </c>
      <c r="H28" s="12">
        <f>IF(C28 &gt;= Table4[[#Totals],[Pax]], 1, 0)</f>
        <v>1</v>
      </c>
      <c r="I28" s="13">
        <f t="shared" si="1"/>
        <v>1</v>
      </c>
      <c r="J28" s="14"/>
      <c r="K28" s="14">
        <f>IF(C28 &gt;= Table5[[#Totals],[Pax]], 1, 0)</f>
        <v>1</v>
      </c>
      <c r="L28" s="14">
        <f>IF(C28 &gt;= Table5[[#Totals],[Pax]], 1, 0)</f>
        <v>1</v>
      </c>
      <c r="M28" s="14">
        <f t="shared" si="2"/>
        <v>1</v>
      </c>
    </row>
    <row r="29" spans="1:13" x14ac:dyDescent="0.35">
      <c r="A29" s="9">
        <v>4</v>
      </c>
      <c r="B29" s="8">
        <v>2005</v>
      </c>
      <c r="C29" s="11">
        <v>61297600</v>
      </c>
      <c r="D29" s="11">
        <v>54908859</v>
      </c>
      <c r="E29" s="11">
        <v>6388741</v>
      </c>
      <c r="F29" s="9" t="str">
        <f t="shared" si="0"/>
        <v>Fall</v>
      </c>
      <c r="G29">
        <f>Table4[[#This Row],[High_Traffic]]</f>
        <v>0</v>
      </c>
      <c r="H29" s="15">
        <f>IF(C29 &gt;= Table4[[#Totals],[Pax]], 1, 0)</f>
        <v>0</v>
      </c>
      <c r="I29" s="16">
        <f t="shared" si="1"/>
        <v>1</v>
      </c>
      <c r="J29" s="17"/>
      <c r="K29" s="17">
        <f>IF(C29 &gt;= Table5[[#Totals],[Pax]], 1, 0)</f>
        <v>0</v>
      </c>
      <c r="L29" s="17">
        <f>IF(C29 &gt;= Table5[[#Totals],[Pax]], 1, 0)</f>
        <v>0</v>
      </c>
      <c r="M29" s="17">
        <f t="shared" si="2"/>
        <v>1</v>
      </c>
    </row>
    <row r="30" spans="1:13" x14ac:dyDescent="0.35">
      <c r="A30" s="7">
        <v>5</v>
      </c>
      <c r="B30" s="6">
        <v>2005</v>
      </c>
      <c r="C30" s="10">
        <v>63899130</v>
      </c>
      <c r="D30" s="10">
        <v>57323876</v>
      </c>
      <c r="E30" s="10">
        <v>6575254</v>
      </c>
      <c r="F30" s="7" t="str">
        <f t="shared" si="0"/>
        <v>Fall</v>
      </c>
      <c r="G30">
        <f>Table4[[#This Row],[High_Traffic]]</f>
        <v>1</v>
      </c>
      <c r="H30" s="12">
        <f>IF(C30 &gt;= Table4[[#Totals],[Pax]], 1, 0)</f>
        <v>1</v>
      </c>
      <c r="I30" s="13">
        <f t="shared" si="1"/>
        <v>1</v>
      </c>
      <c r="J30" s="14"/>
      <c r="K30" s="14">
        <f>IF(C30 &gt;= Table5[[#Totals],[Pax]], 1, 0)</f>
        <v>1</v>
      </c>
      <c r="L30" s="14">
        <f>IF(C30 &gt;= Table5[[#Totals],[Pax]], 1, 0)</f>
        <v>1</v>
      </c>
      <c r="M30" s="14">
        <f t="shared" si="2"/>
        <v>1</v>
      </c>
    </row>
    <row r="31" spans="1:13" x14ac:dyDescent="0.35">
      <c r="A31" s="9">
        <v>6</v>
      </c>
      <c r="B31" s="8">
        <v>2005</v>
      </c>
      <c r="C31" s="11">
        <v>66847187</v>
      </c>
      <c r="D31" s="11">
        <v>59724061</v>
      </c>
      <c r="E31" s="11">
        <v>7123126</v>
      </c>
      <c r="F31" s="9" t="str">
        <f t="shared" si="0"/>
        <v>Fall</v>
      </c>
      <c r="G31">
        <f>Table4[[#This Row],[High_Traffic]]</f>
        <v>1</v>
      </c>
      <c r="H31" s="15">
        <f>IF(C31 &gt;= Table4[[#Totals],[Pax]], 1, 0)</f>
        <v>1</v>
      </c>
      <c r="I31" s="16">
        <f t="shared" si="1"/>
        <v>1</v>
      </c>
      <c r="J31" s="17"/>
      <c r="K31" s="17">
        <f>IF(C31 &gt;= Table5[[#Totals],[Pax]], 1, 0)</f>
        <v>1</v>
      </c>
      <c r="L31" s="17">
        <f>IF(C31 &gt;= Table5[[#Totals],[Pax]], 1, 0)</f>
        <v>1</v>
      </c>
      <c r="M31" s="17">
        <f t="shared" si="2"/>
        <v>1</v>
      </c>
    </row>
    <row r="32" spans="1:13" x14ac:dyDescent="0.35">
      <c r="A32" s="7">
        <v>7</v>
      </c>
      <c r="B32" s="6">
        <v>2005</v>
      </c>
      <c r="C32" s="10">
        <v>70263792</v>
      </c>
      <c r="D32" s="10">
        <v>62396446</v>
      </c>
      <c r="E32" s="10">
        <v>7867346</v>
      </c>
      <c r="F32" s="7" t="str">
        <f t="shared" si="0"/>
        <v>Fall</v>
      </c>
      <c r="G32">
        <f>Table4[[#This Row],[High_Traffic]]</f>
        <v>1</v>
      </c>
      <c r="H32" s="12">
        <f>IF(C32 &gt;= Table4[[#Totals],[Pax]], 1, 0)</f>
        <v>1</v>
      </c>
      <c r="I32" s="13">
        <f t="shared" si="1"/>
        <v>1</v>
      </c>
      <c r="J32" s="14"/>
      <c r="K32" s="14">
        <f>IF(C32 &gt;= Table5[[#Totals],[Pax]], 1, 0)</f>
        <v>1</v>
      </c>
      <c r="L32" s="14">
        <f>IF(C32 &gt;= Table5[[#Totals],[Pax]], 1, 0)</f>
        <v>1</v>
      </c>
      <c r="M32" s="14">
        <f t="shared" si="2"/>
        <v>1</v>
      </c>
    </row>
    <row r="33" spans="1:13" x14ac:dyDescent="0.35">
      <c r="A33" s="9">
        <v>8</v>
      </c>
      <c r="B33" s="8">
        <v>2005</v>
      </c>
      <c r="C33" s="11">
        <v>66529820</v>
      </c>
      <c r="D33" s="11">
        <v>59110633</v>
      </c>
      <c r="E33" s="11">
        <v>7419187</v>
      </c>
      <c r="F33" s="9" t="str">
        <f t="shared" si="0"/>
        <v>Fall</v>
      </c>
      <c r="G33">
        <f>Table4[[#This Row],[High_Traffic]]</f>
        <v>1</v>
      </c>
      <c r="H33" s="15">
        <f>IF(C33 &gt;= Table4[[#Totals],[Pax]], 1, 0)</f>
        <v>1</v>
      </c>
      <c r="I33" s="16">
        <f t="shared" si="1"/>
        <v>1</v>
      </c>
      <c r="J33" s="17"/>
      <c r="K33" s="17">
        <f>IF(C33 &gt;= Table5[[#Totals],[Pax]], 1, 0)</f>
        <v>1</v>
      </c>
      <c r="L33" s="17">
        <f>IF(C33 &gt;= Table5[[#Totals],[Pax]], 1, 0)</f>
        <v>1</v>
      </c>
      <c r="M33" s="17">
        <f t="shared" si="2"/>
        <v>1</v>
      </c>
    </row>
    <row r="34" spans="1:13" x14ac:dyDescent="0.35">
      <c r="A34" s="7">
        <v>9</v>
      </c>
      <c r="B34" s="6">
        <v>2005</v>
      </c>
      <c r="C34" s="10">
        <v>56534166</v>
      </c>
      <c r="D34" s="10">
        <v>50600325</v>
      </c>
      <c r="E34" s="10">
        <v>5933841</v>
      </c>
      <c r="F34" s="7" t="str">
        <f t="shared" si="0"/>
        <v>Fall</v>
      </c>
      <c r="G34">
        <f>Table4[[#This Row],[High_Traffic]]</f>
        <v>0</v>
      </c>
      <c r="H34" s="12">
        <f>IF(C34 &gt;= Table4[[#Totals],[Pax]], 1, 0)</f>
        <v>0</v>
      </c>
      <c r="I34" s="13">
        <f t="shared" si="1"/>
        <v>1</v>
      </c>
      <c r="J34" s="14"/>
      <c r="K34" s="14">
        <f>IF(C34 &gt;= Table5[[#Totals],[Pax]], 1, 0)</f>
        <v>0</v>
      </c>
      <c r="L34" s="14">
        <f>IF(C34 &gt;= Table5[[#Totals],[Pax]], 1, 0)</f>
        <v>0</v>
      </c>
      <c r="M34" s="14">
        <f t="shared" si="2"/>
        <v>1</v>
      </c>
    </row>
    <row r="35" spans="1:13" x14ac:dyDescent="0.35">
      <c r="A35" s="9">
        <v>10</v>
      </c>
      <c r="B35" s="8">
        <v>2005</v>
      </c>
      <c r="C35" s="11">
        <v>59611848</v>
      </c>
      <c r="D35" s="11">
        <v>53738093</v>
      </c>
      <c r="E35" s="11">
        <v>5873755</v>
      </c>
      <c r="F35" s="9" t="str">
        <f t="shared" si="0"/>
        <v>Fall</v>
      </c>
      <c r="G35">
        <f>Table4[[#This Row],[High_Traffic]]</f>
        <v>0</v>
      </c>
      <c r="H35" s="15">
        <f>IF(C35 &gt;= Table4[[#Totals],[Pax]], 1, 0)</f>
        <v>0</v>
      </c>
      <c r="I35" s="16">
        <f t="shared" si="1"/>
        <v>1</v>
      </c>
      <c r="J35" s="17"/>
      <c r="K35" s="17">
        <f>IF(C35 &gt;= Table5[[#Totals],[Pax]], 1, 0)</f>
        <v>0</v>
      </c>
      <c r="L35" s="17">
        <f>IF(C35 &gt;= Table5[[#Totals],[Pax]], 1, 0)</f>
        <v>0</v>
      </c>
      <c r="M35" s="17">
        <f t="shared" si="2"/>
        <v>1</v>
      </c>
    </row>
    <row r="36" spans="1:13" x14ac:dyDescent="0.35">
      <c r="A36" s="7">
        <v>11</v>
      </c>
      <c r="B36" s="6">
        <v>2005</v>
      </c>
      <c r="C36" s="10">
        <v>58410901</v>
      </c>
      <c r="D36" s="10">
        <v>52766404</v>
      </c>
      <c r="E36" s="10">
        <v>5644497</v>
      </c>
      <c r="F36" s="7" t="str">
        <f t="shared" si="0"/>
        <v>Fall</v>
      </c>
      <c r="G36">
        <f>Table4[[#This Row],[High_Traffic]]</f>
        <v>0</v>
      </c>
      <c r="H36" s="12">
        <f>IF(C36 &gt;= Table4[[#Totals],[Pax]], 1, 0)</f>
        <v>0</v>
      </c>
      <c r="I36" s="13">
        <f t="shared" si="1"/>
        <v>1</v>
      </c>
      <c r="J36" s="14"/>
      <c r="K36" s="14">
        <f>IF(C36 &gt;= Table5[[#Totals],[Pax]], 1, 0)</f>
        <v>0</v>
      </c>
      <c r="L36" s="14">
        <f>IF(C36 &gt;= Table5[[#Totals],[Pax]], 1, 0)</f>
        <v>0</v>
      </c>
      <c r="M36" s="14">
        <f t="shared" si="2"/>
        <v>1</v>
      </c>
    </row>
    <row r="37" spans="1:13" x14ac:dyDescent="0.35">
      <c r="A37" s="9">
        <v>12</v>
      </c>
      <c r="B37" s="8">
        <v>2005</v>
      </c>
      <c r="C37" s="11">
        <v>59196298</v>
      </c>
      <c r="D37" s="11">
        <v>52801276</v>
      </c>
      <c r="E37" s="11">
        <v>6395022</v>
      </c>
      <c r="F37" s="9" t="str">
        <f t="shared" si="0"/>
        <v>Fall</v>
      </c>
      <c r="G37">
        <f>Table4[[#This Row],[High_Traffic]]</f>
        <v>0</v>
      </c>
      <c r="H37" s="15">
        <f>IF(C37 &gt;= Table4[[#Totals],[Pax]], 1, 0)</f>
        <v>0</v>
      </c>
      <c r="I37" s="16">
        <f t="shared" si="1"/>
        <v>1</v>
      </c>
      <c r="J37" s="17"/>
      <c r="K37" s="17">
        <f>IF(C37 &gt;= Table5[[#Totals],[Pax]], 1, 0)</f>
        <v>0</v>
      </c>
      <c r="L37" s="17">
        <f>IF(C37 &gt;= Table5[[#Totals],[Pax]], 1, 0)</f>
        <v>0</v>
      </c>
      <c r="M37" s="17">
        <f t="shared" si="2"/>
        <v>1</v>
      </c>
    </row>
    <row r="38" spans="1:13" x14ac:dyDescent="0.35">
      <c r="A38" s="7">
        <v>1</v>
      </c>
      <c r="B38" s="6">
        <v>2006</v>
      </c>
      <c r="C38" s="10">
        <v>55288976</v>
      </c>
      <c r="D38" s="10">
        <v>48886043</v>
      </c>
      <c r="E38" s="10">
        <v>6402933</v>
      </c>
      <c r="F38" s="7" t="str">
        <f t="shared" si="0"/>
        <v>Fall</v>
      </c>
      <c r="G38">
        <f>Table4[[#This Row],[High_Traffic]]</f>
        <v>0</v>
      </c>
      <c r="H38" s="12">
        <f>IF(C38 &gt;= Table4[[#Totals],[Pax]], 1, 0)</f>
        <v>0</v>
      </c>
      <c r="I38" s="13">
        <f t="shared" si="1"/>
        <v>1</v>
      </c>
      <c r="J38" s="14"/>
      <c r="K38" s="14">
        <f>IF(C38 &gt;= Table5[[#Totals],[Pax]], 1, 0)</f>
        <v>0</v>
      </c>
      <c r="L38" s="14">
        <f>IF(C38 &gt;= Table5[[#Totals],[Pax]], 1, 0)</f>
        <v>0</v>
      </c>
      <c r="M38" s="14">
        <f t="shared" si="2"/>
        <v>1</v>
      </c>
    </row>
    <row r="39" spans="1:13" x14ac:dyDescent="0.35">
      <c r="A39" s="9">
        <v>2</v>
      </c>
      <c r="B39" s="8">
        <v>2006</v>
      </c>
      <c r="C39" s="11">
        <v>53055051</v>
      </c>
      <c r="D39" s="11">
        <v>47348142</v>
      </c>
      <c r="E39" s="11">
        <v>5706909</v>
      </c>
      <c r="F39" s="9" t="str">
        <f t="shared" si="0"/>
        <v>Fall</v>
      </c>
      <c r="G39">
        <f>Table4[[#This Row],[High_Traffic]]</f>
        <v>0</v>
      </c>
      <c r="H39" s="15">
        <f>IF(C39 &gt;= Table4[[#Totals],[Pax]], 1, 0)</f>
        <v>0</v>
      </c>
      <c r="I39" s="16">
        <f t="shared" si="1"/>
        <v>1</v>
      </c>
      <c r="J39" s="17"/>
      <c r="K39" s="17">
        <f>IF(C39 &gt;= Table5[[#Totals],[Pax]], 1, 0)</f>
        <v>0</v>
      </c>
      <c r="L39" s="17">
        <f>IF(C39 &gt;= Table5[[#Totals],[Pax]], 1, 0)</f>
        <v>0</v>
      </c>
      <c r="M39" s="17">
        <f t="shared" si="2"/>
        <v>1</v>
      </c>
    </row>
    <row r="40" spans="1:13" x14ac:dyDescent="0.35">
      <c r="A40" s="7">
        <v>3</v>
      </c>
      <c r="B40" s="6">
        <v>2006</v>
      </c>
      <c r="C40" s="10">
        <v>65507850</v>
      </c>
      <c r="D40" s="10">
        <v>58286011</v>
      </c>
      <c r="E40" s="10">
        <v>7221839</v>
      </c>
      <c r="F40" s="7" t="str">
        <f t="shared" si="0"/>
        <v>Fall</v>
      </c>
      <c r="G40">
        <f>Table4[[#This Row],[High_Traffic]]</f>
        <v>1</v>
      </c>
      <c r="H40" s="12">
        <f>IF(C40 &gt;= Table4[[#Totals],[Pax]], 1, 0)</f>
        <v>1</v>
      </c>
      <c r="I40" s="13">
        <f t="shared" si="1"/>
        <v>1</v>
      </c>
      <c r="J40" s="14"/>
      <c r="K40" s="14">
        <f>IF(C40 &gt;= Table5[[#Totals],[Pax]], 1, 0)</f>
        <v>1</v>
      </c>
      <c r="L40" s="14">
        <f>IF(C40 &gt;= Table5[[#Totals],[Pax]], 1, 0)</f>
        <v>1</v>
      </c>
      <c r="M40" s="14">
        <f t="shared" si="2"/>
        <v>1</v>
      </c>
    </row>
    <row r="41" spans="1:13" x14ac:dyDescent="0.35">
      <c r="A41" s="9">
        <v>4</v>
      </c>
      <c r="B41" s="8">
        <v>2006</v>
      </c>
      <c r="C41" s="11">
        <v>62865184</v>
      </c>
      <c r="D41" s="11">
        <v>55828555</v>
      </c>
      <c r="E41" s="11">
        <v>7036629</v>
      </c>
      <c r="F41" s="9" t="str">
        <f t="shared" si="0"/>
        <v>Fall</v>
      </c>
      <c r="G41">
        <f>Table4[[#This Row],[High_Traffic]]</f>
        <v>1</v>
      </c>
      <c r="H41" s="15">
        <f>IF(C41 &gt;= Table4[[#Totals],[Pax]], 1, 0)</f>
        <v>1</v>
      </c>
      <c r="I41" s="16">
        <f t="shared" si="1"/>
        <v>1</v>
      </c>
      <c r="J41" s="17"/>
      <c r="K41" s="17">
        <f>IF(C41 &gt;= Table5[[#Totals],[Pax]], 1, 0)</f>
        <v>1</v>
      </c>
      <c r="L41" s="17">
        <f>IF(C41 &gt;= Table5[[#Totals],[Pax]], 1, 0)</f>
        <v>1</v>
      </c>
      <c r="M41" s="17">
        <f t="shared" si="2"/>
        <v>1</v>
      </c>
    </row>
    <row r="42" spans="1:13" x14ac:dyDescent="0.35">
      <c r="A42" s="7">
        <v>5</v>
      </c>
      <c r="B42" s="6">
        <v>2006</v>
      </c>
      <c r="C42" s="10">
        <v>64142247</v>
      </c>
      <c r="D42" s="10">
        <v>57145193</v>
      </c>
      <c r="E42" s="10">
        <v>6997054</v>
      </c>
      <c r="F42" s="7" t="str">
        <f t="shared" si="0"/>
        <v>Fall</v>
      </c>
      <c r="G42">
        <f>Table4[[#This Row],[High_Traffic]]</f>
        <v>1</v>
      </c>
      <c r="H42" s="12">
        <f>IF(C42 &gt;= Table4[[#Totals],[Pax]], 1, 0)</f>
        <v>1</v>
      </c>
      <c r="I42" s="13">
        <f t="shared" si="1"/>
        <v>1</v>
      </c>
      <c r="J42" s="14"/>
      <c r="K42" s="14">
        <f>IF(C42 &gt;= Table5[[#Totals],[Pax]], 1, 0)</f>
        <v>1</v>
      </c>
      <c r="L42" s="14">
        <f>IF(C42 &gt;= Table5[[#Totals],[Pax]], 1, 0)</f>
        <v>1</v>
      </c>
      <c r="M42" s="14">
        <f t="shared" si="2"/>
        <v>1</v>
      </c>
    </row>
    <row r="43" spans="1:13" x14ac:dyDescent="0.35">
      <c r="A43" s="9">
        <v>6</v>
      </c>
      <c r="B43" s="8">
        <v>2006</v>
      </c>
      <c r="C43" s="11">
        <v>66922182</v>
      </c>
      <c r="D43" s="11">
        <v>59297121</v>
      </c>
      <c r="E43" s="11">
        <v>7625061</v>
      </c>
      <c r="F43" s="9" t="str">
        <f t="shared" si="0"/>
        <v>Fall</v>
      </c>
      <c r="G43">
        <f>Table4[[#This Row],[High_Traffic]]</f>
        <v>1</v>
      </c>
      <c r="H43" s="15">
        <f>IF(C43 &gt;= Table4[[#Totals],[Pax]], 1, 0)</f>
        <v>1</v>
      </c>
      <c r="I43" s="16">
        <f t="shared" si="1"/>
        <v>1</v>
      </c>
      <c r="J43" s="17"/>
      <c r="K43" s="17">
        <f>IF(C43 &gt;= Table5[[#Totals],[Pax]], 1, 0)</f>
        <v>1</v>
      </c>
      <c r="L43" s="17">
        <f>IF(C43 &gt;= Table5[[#Totals],[Pax]], 1, 0)</f>
        <v>1</v>
      </c>
      <c r="M43" s="17">
        <f t="shared" si="2"/>
        <v>1</v>
      </c>
    </row>
    <row r="44" spans="1:13" x14ac:dyDescent="0.35">
      <c r="A44" s="7">
        <v>7</v>
      </c>
      <c r="B44" s="6">
        <v>2006</v>
      </c>
      <c r="C44" s="10">
        <v>69178609</v>
      </c>
      <c r="D44" s="10">
        <v>60838606</v>
      </c>
      <c r="E44" s="10">
        <v>8340003</v>
      </c>
      <c r="F44" s="7" t="str">
        <f t="shared" si="0"/>
        <v>Fall</v>
      </c>
      <c r="G44">
        <f>Table4[[#This Row],[High_Traffic]]</f>
        <v>1</v>
      </c>
      <c r="H44" s="12">
        <f>IF(C44 &gt;= Table4[[#Totals],[Pax]], 1, 0)</f>
        <v>1</v>
      </c>
      <c r="I44" s="13">
        <f t="shared" si="1"/>
        <v>1</v>
      </c>
      <c r="J44" s="14"/>
      <c r="K44" s="14">
        <f>IF(C44 &gt;= Table5[[#Totals],[Pax]], 1, 0)</f>
        <v>1</v>
      </c>
      <c r="L44" s="14">
        <f>IF(C44 &gt;= Table5[[#Totals],[Pax]], 1, 0)</f>
        <v>1</v>
      </c>
      <c r="M44" s="14">
        <f t="shared" si="2"/>
        <v>1</v>
      </c>
    </row>
    <row r="45" spans="1:13" x14ac:dyDescent="0.35">
      <c r="A45" s="9">
        <v>8</v>
      </c>
      <c r="B45" s="8">
        <v>2006</v>
      </c>
      <c r="C45" s="11">
        <v>66147081</v>
      </c>
      <c r="D45" s="11">
        <v>58303233</v>
      </c>
      <c r="E45" s="11">
        <v>7843848</v>
      </c>
      <c r="F45" s="9" t="str">
        <f t="shared" si="0"/>
        <v>Fall</v>
      </c>
      <c r="G45">
        <f>Table4[[#This Row],[High_Traffic]]</f>
        <v>1</v>
      </c>
      <c r="H45" s="15">
        <f>IF(C45 &gt;= Table4[[#Totals],[Pax]], 1, 0)</f>
        <v>1</v>
      </c>
      <c r="I45" s="16">
        <f t="shared" si="1"/>
        <v>1</v>
      </c>
      <c r="J45" s="17"/>
      <c r="K45" s="17">
        <f>IF(C45 &gt;= Table5[[#Totals],[Pax]], 1, 0)</f>
        <v>1</v>
      </c>
      <c r="L45" s="17">
        <f>IF(C45 &gt;= Table5[[#Totals],[Pax]], 1, 0)</f>
        <v>1</v>
      </c>
      <c r="M45" s="17">
        <f t="shared" si="2"/>
        <v>1</v>
      </c>
    </row>
    <row r="46" spans="1:13" x14ac:dyDescent="0.35">
      <c r="A46" s="7">
        <v>9</v>
      </c>
      <c r="B46" s="6">
        <v>2006</v>
      </c>
      <c r="C46" s="10">
        <v>56139524</v>
      </c>
      <c r="D46" s="10">
        <v>49949551</v>
      </c>
      <c r="E46" s="10">
        <v>6189973</v>
      </c>
      <c r="F46" s="7" t="str">
        <f t="shared" si="0"/>
        <v>Fall</v>
      </c>
      <c r="G46">
        <f>Table4[[#This Row],[High_Traffic]]</f>
        <v>0</v>
      </c>
      <c r="H46" s="12">
        <f>IF(C46 &gt;= Table4[[#Totals],[Pax]], 1, 0)</f>
        <v>0</v>
      </c>
      <c r="I46" s="13">
        <f t="shared" si="1"/>
        <v>1</v>
      </c>
      <c r="J46" s="14"/>
      <c r="K46" s="14">
        <f>IF(C46 &gt;= Table5[[#Totals],[Pax]], 1, 0)</f>
        <v>0</v>
      </c>
      <c r="L46" s="14">
        <f>IF(C46 &gt;= Table5[[#Totals],[Pax]], 1, 0)</f>
        <v>0</v>
      </c>
      <c r="M46" s="14">
        <f t="shared" si="2"/>
        <v>1</v>
      </c>
    </row>
    <row r="47" spans="1:13" x14ac:dyDescent="0.35">
      <c r="A47" s="9">
        <v>10</v>
      </c>
      <c r="B47" s="8">
        <v>2006</v>
      </c>
      <c r="C47" s="11">
        <v>61370000</v>
      </c>
      <c r="D47" s="11">
        <v>55088983</v>
      </c>
      <c r="E47" s="11">
        <v>6281017</v>
      </c>
      <c r="F47" s="9" t="str">
        <f t="shared" si="0"/>
        <v>Fall</v>
      </c>
      <c r="G47">
        <f>Table4[[#This Row],[High_Traffic]]</f>
        <v>0</v>
      </c>
      <c r="H47" s="15">
        <f>IF(C47 &gt;= Table4[[#Totals],[Pax]], 1, 0)</f>
        <v>0</v>
      </c>
      <c r="I47" s="16">
        <f t="shared" si="1"/>
        <v>1</v>
      </c>
      <c r="J47" s="17"/>
      <c r="K47" s="17">
        <f>IF(C47 &gt;= Table5[[#Totals],[Pax]], 1, 0)</f>
        <v>0</v>
      </c>
      <c r="L47" s="17">
        <f>IF(C47 &gt;= Table5[[#Totals],[Pax]], 1, 0)</f>
        <v>0</v>
      </c>
      <c r="M47" s="17">
        <f t="shared" si="2"/>
        <v>1</v>
      </c>
    </row>
    <row r="48" spans="1:13" x14ac:dyDescent="0.35">
      <c r="A48" s="7">
        <v>11</v>
      </c>
      <c r="B48" s="6">
        <v>2006</v>
      </c>
      <c r="C48" s="10">
        <v>60025470</v>
      </c>
      <c r="D48" s="10">
        <v>53852209</v>
      </c>
      <c r="E48" s="10">
        <v>6173261</v>
      </c>
      <c r="F48" s="7" t="str">
        <f t="shared" si="0"/>
        <v>Fall</v>
      </c>
      <c r="G48">
        <f>Table4[[#This Row],[High_Traffic]]</f>
        <v>0</v>
      </c>
      <c r="H48" s="12">
        <f>IF(C48 &gt;= Table4[[#Totals],[Pax]], 1, 0)</f>
        <v>0</v>
      </c>
      <c r="I48" s="13">
        <f t="shared" si="1"/>
        <v>1</v>
      </c>
      <c r="J48" s="14"/>
      <c r="K48" s="14">
        <f>IF(C48 &gt;= Table5[[#Totals],[Pax]], 1, 0)</f>
        <v>0</v>
      </c>
      <c r="L48" s="14">
        <f>IF(C48 &gt;= Table5[[#Totals],[Pax]], 1, 0)</f>
        <v>0</v>
      </c>
      <c r="M48" s="14">
        <f t="shared" si="2"/>
        <v>1</v>
      </c>
    </row>
    <row r="49" spans="1:13" x14ac:dyDescent="0.35">
      <c r="A49" s="9">
        <v>12</v>
      </c>
      <c r="B49" s="8">
        <v>2006</v>
      </c>
      <c r="C49" s="11">
        <v>60456025</v>
      </c>
      <c r="D49" s="11">
        <v>53538970</v>
      </c>
      <c r="E49" s="11">
        <v>6917055</v>
      </c>
      <c r="F49" s="9" t="str">
        <f t="shared" si="0"/>
        <v>Fall</v>
      </c>
      <c r="G49">
        <f>Table4[[#This Row],[High_Traffic]]</f>
        <v>0</v>
      </c>
      <c r="H49" s="15">
        <f>IF(C49 &gt;= Table4[[#Totals],[Pax]], 1, 0)</f>
        <v>0</v>
      </c>
      <c r="I49" s="16">
        <f t="shared" si="1"/>
        <v>1</v>
      </c>
      <c r="J49" s="17"/>
      <c r="K49" s="17">
        <f>IF(C49 &gt;= Table5[[#Totals],[Pax]], 1, 0)</f>
        <v>0</v>
      </c>
      <c r="L49" s="17">
        <f>IF(C49 &gt;= Table5[[#Totals],[Pax]], 1, 0)</f>
        <v>0</v>
      </c>
      <c r="M49" s="17">
        <f t="shared" si="2"/>
        <v>1</v>
      </c>
    </row>
    <row r="50" spans="1:13" x14ac:dyDescent="0.35">
      <c r="A50" s="7">
        <v>1</v>
      </c>
      <c r="B50" s="6">
        <v>2007</v>
      </c>
      <c r="C50" s="10">
        <v>56876804</v>
      </c>
      <c r="D50" s="10">
        <v>50022168</v>
      </c>
      <c r="E50" s="10">
        <v>6854636</v>
      </c>
      <c r="F50" s="7" t="str">
        <f t="shared" si="0"/>
        <v>Fall</v>
      </c>
      <c r="G50">
        <f>Table4[[#This Row],[High_Traffic]]</f>
        <v>0</v>
      </c>
      <c r="H50" s="12">
        <f>IF(C50 &gt;= Table4[[#Totals],[Pax]], 1, 0)</f>
        <v>0</v>
      </c>
      <c r="I50" s="13">
        <f t="shared" si="1"/>
        <v>1</v>
      </c>
      <c r="J50" s="14"/>
      <c r="K50" s="14">
        <f>IF(C50 &gt;= Table5[[#Totals],[Pax]], 1, 0)</f>
        <v>0</v>
      </c>
      <c r="L50" s="14">
        <f>IF(C50 &gt;= Table5[[#Totals],[Pax]], 1, 0)</f>
        <v>0</v>
      </c>
      <c r="M50" s="14">
        <f t="shared" si="2"/>
        <v>1</v>
      </c>
    </row>
    <row r="51" spans="1:13" x14ac:dyDescent="0.35">
      <c r="A51" s="9">
        <v>2</v>
      </c>
      <c r="B51" s="8">
        <v>2007</v>
      </c>
      <c r="C51" s="11">
        <v>53845014</v>
      </c>
      <c r="D51" s="11">
        <v>47766421</v>
      </c>
      <c r="E51" s="11">
        <v>6078593</v>
      </c>
      <c r="F51" s="9" t="str">
        <f t="shared" si="0"/>
        <v>Fall</v>
      </c>
      <c r="G51">
        <f>Table4[[#This Row],[High_Traffic]]</f>
        <v>0</v>
      </c>
      <c r="H51" s="15">
        <f>IF(C51 &gt;= Table4[[#Totals],[Pax]], 1, 0)</f>
        <v>0</v>
      </c>
      <c r="I51" s="16">
        <f t="shared" si="1"/>
        <v>1</v>
      </c>
      <c r="J51" s="17"/>
      <c r="K51" s="17">
        <f>IF(C51 &gt;= Table5[[#Totals],[Pax]], 1, 0)</f>
        <v>0</v>
      </c>
      <c r="L51" s="17">
        <f>IF(C51 &gt;= Table5[[#Totals],[Pax]], 1, 0)</f>
        <v>0</v>
      </c>
      <c r="M51" s="17">
        <f t="shared" si="2"/>
        <v>1</v>
      </c>
    </row>
    <row r="52" spans="1:13" x14ac:dyDescent="0.35">
      <c r="A52" s="7">
        <v>3</v>
      </c>
      <c r="B52" s="6">
        <v>2007</v>
      </c>
      <c r="C52" s="10">
        <v>66891742</v>
      </c>
      <c r="D52" s="10">
        <v>59244232</v>
      </c>
      <c r="E52" s="10">
        <v>7647510</v>
      </c>
      <c r="F52" s="7" t="str">
        <f t="shared" si="0"/>
        <v>Fall</v>
      </c>
      <c r="G52">
        <f>Table4[[#This Row],[High_Traffic]]</f>
        <v>1</v>
      </c>
      <c r="H52" s="12">
        <f>IF(C52 &gt;= Table4[[#Totals],[Pax]], 1, 0)</f>
        <v>1</v>
      </c>
      <c r="I52" s="13">
        <f t="shared" si="1"/>
        <v>1</v>
      </c>
      <c r="J52" s="14"/>
      <c r="K52" s="14">
        <f>IF(C52 &gt;= Table5[[#Totals],[Pax]], 1, 0)</f>
        <v>1</v>
      </c>
      <c r="L52" s="14">
        <f>IF(C52 &gt;= Table5[[#Totals],[Pax]], 1, 0)</f>
        <v>1</v>
      </c>
      <c r="M52" s="14">
        <f t="shared" si="2"/>
        <v>1</v>
      </c>
    </row>
    <row r="53" spans="1:13" x14ac:dyDescent="0.35">
      <c r="A53" s="9">
        <v>4</v>
      </c>
      <c r="B53" s="8">
        <v>2007</v>
      </c>
      <c r="C53" s="11">
        <v>64630113</v>
      </c>
      <c r="D53" s="11">
        <v>57396328</v>
      </c>
      <c r="E53" s="11">
        <v>7233785</v>
      </c>
      <c r="F53" s="9" t="str">
        <f t="shared" si="0"/>
        <v>Fall</v>
      </c>
      <c r="G53">
        <f>Table4[[#This Row],[High_Traffic]]</f>
        <v>1</v>
      </c>
      <c r="H53" s="15">
        <f>IF(C53 &gt;= Table4[[#Totals],[Pax]], 1, 0)</f>
        <v>1</v>
      </c>
      <c r="I53" s="16">
        <f t="shared" si="1"/>
        <v>1</v>
      </c>
      <c r="J53" s="17"/>
      <c r="K53" s="17">
        <f>IF(C53 &gt;= Table5[[#Totals],[Pax]], 1, 0)</f>
        <v>1</v>
      </c>
      <c r="L53" s="17">
        <f>IF(C53 &gt;= Table5[[#Totals],[Pax]], 1, 0)</f>
        <v>1</v>
      </c>
      <c r="M53" s="17">
        <f t="shared" si="2"/>
        <v>1</v>
      </c>
    </row>
    <row r="54" spans="1:13" x14ac:dyDescent="0.35">
      <c r="A54" s="7">
        <v>5</v>
      </c>
      <c r="B54" s="6">
        <v>2007</v>
      </c>
      <c r="C54" s="10">
        <v>66528541</v>
      </c>
      <c r="D54" s="10">
        <v>59283597</v>
      </c>
      <c r="E54" s="10">
        <v>7244944</v>
      </c>
      <c r="F54" s="7" t="str">
        <f t="shared" si="0"/>
        <v>Fall</v>
      </c>
      <c r="G54">
        <f>Table4[[#This Row],[High_Traffic]]</f>
        <v>1</v>
      </c>
      <c r="H54" s="12">
        <f>IF(C54 &gt;= Table4[[#Totals],[Pax]], 1, 0)</f>
        <v>1</v>
      </c>
      <c r="I54" s="13">
        <f t="shared" si="1"/>
        <v>1</v>
      </c>
      <c r="J54" s="14"/>
      <c r="K54" s="14">
        <f>IF(C54 &gt;= Table5[[#Totals],[Pax]], 1, 0)</f>
        <v>1</v>
      </c>
      <c r="L54" s="14">
        <f>IF(C54 &gt;= Table5[[#Totals],[Pax]], 1, 0)</f>
        <v>1</v>
      </c>
      <c r="M54" s="14">
        <f t="shared" si="2"/>
        <v>1</v>
      </c>
    </row>
    <row r="55" spans="1:13" x14ac:dyDescent="0.35">
      <c r="A55" s="9">
        <v>6</v>
      </c>
      <c r="B55" s="8">
        <v>2007</v>
      </c>
      <c r="C55" s="11">
        <v>69447429</v>
      </c>
      <c r="D55" s="11">
        <v>61493934</v>
      </c>
      <c r="E55" s="11">
        <v>7953495</v>
      </c>
      <c r="F55" s="9" t="str">
        <f t="shared" si="0"/>
        <v>Fall</v>
      </c>
      <c r="G55">
        <f>Table4[[#This Row],[High_Traffic]]</f>
        <v>1</v>
      </c>
      <c r="H55" s="15">
        <f>IF(C55 &gt;= Table4[[#Totals],[Pax]], 1, 0)</f>
        <v>1</v>
      </c>
      <c r="I55" s="16">
        <f t="shared" si="1"/>
        <v>1</v>
      </c>
      <c r="J55" s="17"/>
      <c r="K55" s="17">
        <f>IF(C55 &gt;= Table5[[#Totals],[Pax]], 1, 0)</f>
        <v>1</v>
      </c>
      <c r="L55" s="17">
        <f>IF(C55 &gt;= Table5[[#Totals],[Pax]], 1, 0)</f>
        <v>1</v>
      </c>
      <c r="M55" s="17">
        <f t="shared" si="2"/>
        <v>1</v>
      </c>
    </row>
    <row r="56" spans="1:13" x14ac:dyDescent="0.35">
      <c r="A56" s="7">
        <v>7</v>
      </c>
      <c r="B56" s="6">
        <v>2007</v>
      </c>
      <c r="C56" s="10">
        <v>72153522</v>
      </c>
      <c r="D56" s="10">
        <v>63457403</v>
      </c>
      <c r="E56" s="10">
        <v>8696119</v>
      </c>
      <c r="F56" s="7" t="str">
        <f t="shared" si="0"/>
        <v>Fall</v>
      </c>
      <c r="G56">
        <f>Table4[[#This Row],[High_Traffic]]</f>
        <v>1</v>
      </c>
      <c r="H56" s="12">
        <f>IF(C56 &gt;= Table4[[#Totals],[Pax]], 1, 0)</f>
        <v>1</v>
      </c>
      <c r="I56" s="13">
        <f t="shared" si="1"/>
        <v>1</v>
      </c>
      <c r="J56" s="14"/>
      <c r="K56" s="14">
        <f>IF(C56 &gt;= Table5[[#Totals],[Pax]], 1, 0)</f>
        <v>1</v>
      </c>
      <c r="L56" s="14">
        <f>IF(C56 &gt;= Table5[[#Totals],[Pax]], 1, 0)</f>
        <v>1</v>
      </c>
      <c r="M56" s="14">
        <f t="shared" si="2"/>
        <v>1</v>
      </c>
    </row>
    <row r="57" spans="1:13" x14ac:dyDescent="0.35">
      <c r="A57" s="9">
        <v>8</v>
      </c>
      <c r="B57" s="8">
        <v>2007</v>
      </c>
      <c r="C57" s="11">
        <v>71087148</v>
      </c>
      <c r="D57" s="11">
        <v>62657667</v>
      </c>
      <c r="E57" s="11">
        <v>8429481</v>
      </c>
      <c r="F57" s="9" t="str">
        <f t="shared" si="0"/>
        <v>Fall</v>
      </c>
      <c r="G57">
        <f>Table4[[#This Row],[High_Traffic]]</f>
        <v>1</v>
      </c>
      <c r="H57" s="15">
        <f>IF(C57 &gt;= Table4[[#Totals],[Pax]], 1, 0)</f>
        <v>1</v>
      </c>
      <c r="I57" s="16">
        <f t="shared" si="1"/>
        <v>1</v>
      </c>
      <c r="J57" s="17"/>
      <c r="K57" s="17">
        <f>IF(C57 &gt;= Table5[[#Totals],[Pax]], 1, 0)</f>
        <v>1</v>
      </c>
      <c r="L57" s="17">
        <f>IF(C57 &gt;= Table5[[#Totals],[Pax]], 1, 0)</f>
        <v>1</v>
      </c>
      <c r="M57" s="17">
        <f t="shared" si="2"/>
        <v>1</v>
      </c>
    </row>
    <row r="58" spans="1:13" x14ac:dyDescent="0.35">
      <c r="A58" s="7">
        <v>9</v>
      </c>
      <c r="B58" s="6">
        <v>2007</v>
      </c>
      <c r="C58" s="10">
        <v>58973924</v>
      </c>
      <c r="D58" s="10">
        <v>52308015</v>
      </c>
      <c r="E58" s="10">
        <v>6665909</v>
      </c>
      <c r="F58" s="7" t="str">
        <f t="shared" si="0"/>
        <v>Fall</v>
      </c>
      <c r="G58">
        <f>Table4[[#This Row],[High_Traffic]]</f>
        <v>0</v>
      </c>
      <c r="H58" s="12">
        <f>IF(C58 &gt;= Table4[[#Totals],[Pax]], 1, 0)</f>
        <v>0</v>
      </c>
      <c r="I58" s="13">
        <f t="shared" si="1"/>
        <v>1</v>
      </c>
      <c r="J58" s="14"/>
      <c r="K58" s="14">
        <f>IF(C58 &gt;= Table5[[#Totals],[Pax]], 1, 0)</f>
        <v>0</v>
      </c>
      <c r="L58" s="14">
        <f>IF(C58 &gt;= Table5[[#Totals],[Pax]], 1, 0)</f>
        <v>0</v>
      </c>
      <c r="M58" s="14">
        <f t="shared" si="2"/>
        <v>1</v>
      </c>
    </row>
    <row r="59" spans="1:13" x14ac:dyDescent="0.35">
      <c r="A59" s="9">
        <v>10</v>
      </c>
      <c r="B59" s="8">
        <v>2007</v>
      </c>
      <c r="C59" s="11">
        <v>63940976</v>
      </c>
      <c r="D59" s="11">
        <v>57206249</v>
      </c>
      <c r="E59" s="11">
        <v>6734727</v>
      </c>
      <c r="F59" s="9" t="str">
        <f t="shared" si="0"/>
        <v>Fall</v>
      </c>
      <c r="G59">
        <f>Table4[[#This Row],[High_Traffic]]</f>
        <v>1</v>
      </c>
      <c r="H59" s="15">
        <f>IF(C59 &gt;= Table4[[#Totals],[Pax]], 1, 0)</f>
        <v>1</v>
      </c>
      <c r="I59" s="16">
        <f t="shared" si="1"/>
        <v>1</v>
      </c>
      <c r="J59" s="17"/>
      <c r="K59" s="17">
        <f>IF(C59 &gt;= Table5[[#Totals],[Pax]], 1, 0)</f>
        <v>1</v>
      </c>
      <c r="L59" s="17">
        <f>IF(C59 &gt;= Table5[[#Totals],[Pax]], 1, 0)</f>
        <v>1</v>
      </c>
      <c r="M59" s="17">
        <f t="shared" si="2"/>
        <v>1</v>
      </c>
    </row>
    <row r="60" spans="1:13" x14ac:dyDescent="0.35">
      <c r="A60" s="7">
        <v>11</v>
      </c>
      <c r="B60" s="6">
        <v>2007</v>
      </c>
      <c r="C60" s="10">
        <v>61660337</v>
      </c>
      <c r="D60" s="10">
        <v>55044206</v>
      </c>
      <c r="E60" s="10">
        <v>6616131</v>
      </c>
      <c r="F60" s="7" t="str">
        <f t="shared" si="0"/>
        <v>Fall</v>
      </c>
      <c r="G60">
        <f>Table4[[#This Row],[High_Traffic]]</f>
        <v>0</v>
      </c>
      <c r="H60" s="12">
        <f>IF(C60 &gt;= Table4[[#Totals],[Pax]], 1, 0)</f>
        <v>0</v>
      </c>
      <c r="I60" s="13">
        <f t="shared" si="1"/>
        <v>1</v>
      </c>
      <c r="J60" s="14"/>
      <c r="K60" s="14">
        <f>IF(C60 &gt;= Table5[[#Totals],[Pax]], 1, 0)</f>
        <v>0</v>
      </c>
      <c r="L60" s="14">
        <f>IF(C60 &gt;= Table5[[#Totals],[Pax]], 1, 0)</f>
        <v>0</v>
      </c>
      <c r="M60" s="14">
        <f t="shared" si="2"/>
        <v>1</v>
      </c>
    </row>
    <row r="61" spans="1:13" x14ac:dyDescent="0.35">
      <c r="A61" s="9">
        <v>12</v>
      </c>
      <c r="B61" s="8">
        <v>2007</v>
      </c>
      <c r="C61" s="11">
        <v>60591032</v>
      </c>
      <c r="D61" s="11">
        <v>53288538</v>
      </c>
      <c r="E61" s="11">
        <v>7302494</v>
      </c>
      <c r="F61" s="9" t="str">
        <f t="shared" si="0"/>
        <v>Fall</v>
      </c>
      <c r="G61">
        <f>Table4[[#This Row],[High_Traffic]]</f>
        <v>0</v>
      </c>
      <c r="H61" s="15">
        <f>IF(C61 &gt;= Table4[[#Totals],[Pax]], 1, 0)</f>
        <v>0</v>
      </c>
      <c r="I61" s="16">
        <f t="shared" si="1"/>
        <v>1</v>
      </c>
      <c r="J61" s="17"/>
      <c r="K61" s="17">
        <f>IF(C61 &gt;= Table5[[#Totals],[Pax]], 1, 0)</f>
        <v>0</v>
      </c>
      <c r="L61" s="17">
        <f>IF(C61 &gt;= Table5[[#Totals],[Pax]], 1, 0)</f>
        <v>0</v>
      </c>
      <c r="M61" s="17">
        <f t="shared" si="2"/>
        <v>1</v>
      </c>
    </row>
    <row r="62" spans="1:13" x14ac:dyDescent="0.35">
      <c r="A62" s="7">
        <v>1</v>
      </c>
      <c r="B62" s="6">
        <v>2008</v>
      </c>
      <c r="C62" s="10">
        <v>57459802</v>
      </c>
      <c r="D62" s="10">
        <v>50245100</v>
      </c>
      <c r="E62" s="10">
        <v>7214702</v>
      </c>
      <c r="F62" s="7" t="str">
        <f t="shared" si="0"/>
        <v>Fall</v>
      </c>
      <c r="G62">
        <f>Table4[[#This Row],[High_Traffic]]</f>
        <v>0</v>
      </c>
      <c r="H62" s="12">
        <f>IF(C62 &gt;= Table4[[#Totals],[Pax]], 1, 0)</f>
        <v>0</v>
      </c>
      <c r="I62" s="13">
        <f t="shared" si="1"/>
        <v>1</v>
      </c>
      <c r="J62" s="14"/>
      <c r="K62" s="14">
        <f>IF(C62 &gt;= Table5[[#Totals],[Pax]], 1, 0)</f>
        <v>0</v>
      </c>
      <c r="L62" s="14">
        <f>IF(C62 &gt;= Table5[[#Totals],[Pax]], 1, 0)</f>
        <v>0</v>
      </c>
      <c r="M62" s="14">
        <f t="shared" si="2"/>
        <v>1</v>
      </c>
    </row>
    <row r="63" spans="1:13" x14ac:dyDescent="0.35">
      <c r="A63" s="9">
        <v>2</v>
      </c>
      <c r="B63" s="8">
        <v>2008</v>
      </c>
      <c r="C63" s="11">
        <v>56809646</v>
      </c>
      <c r="D63" s="11">
        <v>50118363</v>
      </c>
      <c r="E63" s="11">
        <v>6691283</v>
      </c>
      <c r="F63" s="9" t="str">
        <f t="shared" si="0"/>
        <v>Fall</v>
      </c>
      <c r="G63">
        <f>Table4[[#This Row],[High_Traffic]]</f>
        <v>0</v>
      </c>
      <c r="H63" s="15">
        <f>IF(C63 &gt;= Table4[[#Totals],[Pax]], 1, 0)</f>
        <v>0</v>
      </c>
      <c r="I63" s="16">
        <f t="shared" si="1"/>
        <v>1</v>
      </c>
      <c r="J63" s="17"/>
      <c r="K63" s="17">
        <f>IF(C63 &gt;= Table5[[#Totals],[Pax]], 1, 0)</f>
        <v>0</v>
      </c>
      <c r="L63" s="17">
        <f>IF(C63 &gt;= Table5[[#Totals],[Pax]], 1, 0)</f>
        <v>0</v>
      </c>
      <c r="M63" s="17">
        <f t="shared" si="2"/>
        <v>1</v>
      </c>
    </row>
    <row r="64" spans="1:13" x14ac:dyDescent="0.35">
      <c r="A64" s="7">
        <v>3</v>
      </c>
      <c r="B64" s="6">
        <v>2008</v>
      </c>
      <c r="C64" s="10">
        <v>67470330</v>
      </c>
      <c r="D64" s="10">
        <v>59213077</v>
      </c>
      <c r="E64" s="10">
        <v>8257253</v>
      </c>
      <c r="F64" s="7" t="str">
        <f t="shared" si="0"/>
        <v>Fall</v>
      </c>
      <c r="G64">
        <f>Table4[[#This Row],[High_Traffic]]</f>
        <v>1</v>
      </c>
      <c r="H64" s="12">
        <f>IF(C64 &gt;= Table4[[#Totals],[Pax]], 1, 0)</f>
        <v>1</v>
      </c>
      <c r="I64" s="13">
        <f t="shared" si="1"/>
        <v>1</v>
      </c>
      <c r="J64" s="14"/>
      <c r="K64" s="14">
        <f>IF(C64 &gt;= Table5[[#Totals],[Pax]], 1, 0)</f>
        <v>1</v>
      </c>
      <c r="L64" s="14">
        <f>IF(C64 &gt;= Table5[[#Totals],[Pax]], 1, 0)</f>
        <v>1</v>
      </c>
      <c r="M64" s="14">
        <f t="shared" si="2"/>
        <v>1</v>
      </c>
    </row>
    <row r="65" spans="1:13" x14ac:dyDescent="0.35">
      <c r="A65" s="9">
        <v>4</v>
      </c>
      <c r="B65" s="8">
        <v>2008</v>
      </c>
      <c r="C65" s="11">
        <v>62972516</v>
      </c>
      <c r="D65" s="11">
        <v>55611053</v>
      </c>
      <c r="E65" s="11">
        <v>7361463</v>
      </c>
      <c r="F65" s="9" t="str">
        <f t="shared" si="0"/>
        <v>Fall</v>
      </c>
      <c r="G65">
        <f>Table4[[#This Row],[High_Traffic]]</f>
        <v>1</v>
      </c>
      <c r="H65" s="15">
        <f>IF(C65 &gt;= Table4[[#Totals],[Pax]], 1, 0)</f>
        <v>1</v>
      </c>
      <c r="I65" s="16">
        <f t="shared" si="1"/>
        <v>1</v>
      </c>
      <c r="J65" s="17"/>
      <c r="K65" s="17">
        <f>IF(C65 &gt;= Table5[[#Totals],[Pax]], 1, 0)</f>
        <v>1</v>
      </c>
      <c r="L65" s="17">
        <f>IF(C65 &gt;= Table5[[#Totals],[Pax]], 1, 0)</f>
        <v>1</v>
      </c>
      <c r="M65" s="17">
        <f t="shared" si="2"/>
        <v>1</v>
      </c>
    </row>
    <row r="66" spans="1:13" x14ac:dyDescent="0.35">
      <c r="A66" s="7">
        <v>5</v>
      </c>
      <c r="B66" s="6">
        <v>2008</v>
      </c>
      <c r="C66" s="10">
        <v>65794906</v>
      </c>
      <c r="D66" s="10">
        <v>58047400</v>
      </c>
      <c r="E66" s="10">
        <v>7747506</v>
      </c>
      <c r="F66" s="7" t="str">
        <f t="shared" ref="F66:F129" si="3">IF(E66&lt;=2,"Winter",
 IF(E66&lt;=5,"Spring",
 IF(E66&lt;=8,"Summer","Fall")))</f>
        <v>Fall</v>
      </c>
      <c r="G66">
        <f>Table4[[#This Row],[High_Traffic]]</f>
        <v>1</v>
      </c>
      <c r="H66" s="12">
        <f>IF(C66 &gt;= Table4[[#Totals],[Pax]], 1, 0)</f>
        <v>1</v>
      </c>
      <c r="I66" s="13">
        <f t="shared" ref="I66:I129" si="4">IF(G66=H66,1,0)</f>
        <v>1</v>
      </c>
      <c r="J66" s="14"/>
      <c r="K66" s="14">
        <f>IF(C66 &gt;= Table5[[#Totals],[Pax]], 1, 0)</f>
        <v>1</v>
      </c>
      <c r="L66" s="14">
        <f>IF(C66 &gt;= Table5[[#Totals],[Pax]], 1, 0)</f>
        <v>1</v>
      </c>
      <c r="M66" s="14">
        <f t="shared" ref="M66:M129" si="5">IF(L66 = G66, 1, 0)</f>
        <v>1</v>
      </c>
    </row>
    <row r="67" spans="1:13" x14ac:dyDescent="0.35">
      <c r="A67" s="9">
        <v>6</v>
      </c>
      <c r="B67" s="8">
        <v>2008</v>
      </c>
      <c r="C67" s="11">
        <v>67727316</v>
      </c>
      <c r="D67" s="11">
        <v>59559171</v>
      </c>
      <c r="E67" s="11">
        <v>8168145</v>
      </c>
      <c r="F67" s="9" t="str">
        <f t="shared" si="3"/>
        <v>Fall</v>
      </c>
      <c r="G67">
        <f>Table4[[#This Row],[High_Traffic]]</f>
        <v>1</v>
      </c>
      <c r="H67" s="15">
        <f>IF(C67 &gt;= Table4[[#Totals],[Pax]], 1, 0)</f>
        <v>1</v>
      </c>
      <c r="I67" s="16">
        <f t="shared" si="4"/>
        <v>1</v>
      </c>
      <c r="J67" s="17"/>
      <c r="K67" s="17">
        <f>IF(C67 &gt;= Table5[[#Totals],[Pax]], 1, 0)</f>
        <v>1</v>
      </c>
      <c r="L67" s="17">
        <f>IF(C67 &gt;= Table5[[#Totals],[Pax]], 1, 0)</f>
        <v>1</v>
      </c>
      <c r="M67" s="17">
        <f t="shared" si="5"/>
        <v>1</v>
      </c>
    </row>
    <row r="68" spans="1:13" x14ac:dyDescent="0.35">
      <c r="A68" s="7">
        <v>7</v>
      </c>
      <c r="B68" s="6">
        <v>2008</v>
      </c>
      <c r="C68" s="10">
        <v>70233341</v>
      </c>
      <c r="D68" s="10">
        <v>61401480</v>
      </c>
      <c r="E68" s="10">
        <v>8831861</v>
      </c>
      <c r="F68" s="7" t="str">
        <f t="shared" si="3"/>
        <v>Fall</v>
      </c>
      <c r="G68">
        <f>Table4[[#This Row],[High_Traffic]]</f>
        <v>1</v>
      </c>
      <c r="H68" s="12">
        <f>IF(C68 &gt;= Table4[[#Totals],[Pax]], 1, 0)</f>
        <v>1</v>
      </c>
      <c r="I68" s="13">
        <f t="shared" si="4"/>
        <v>1</v>
      </c>
      <c r="J68" s="14"/>
      <c r="K68" s="14">
        <f>IF(C68 &gt;= Table5[[#Totals],[Pax]], 1, 0)</f>
        <v>1</v>
      </c>
      <c r="L68" s="14">
        <f>IF(C68 &gt;= Table5[[#Totals],[Pax]], 1, 0)</f>
        <v>1</v>
      </c>
      <c r="M68" s="14">
        <f t="shared" si="5"/>
        <v>1</v>
      </c>
    </row>
    <row r="69" spans="1:13" x14ac:dyDescent="0.35">
      <c r="A69" s="9">
        <v>8</v>
      </c>
      <c r="B69" s="8">
        <v>2008</v>
      </c>
      <c r="C69" s="11">
        <v>67596016</v>
      </c>
      <c r="D69" s="11">
        <v>58966473</v>
      </c>
      <c r="E69" s="11">
        <v>8629543</v>
      </c>
      <c r="F69" s="9" t="str">
        <f t="shared" si="3"/>
        <v>Fall</v>
      </c>
      <c r="G69">
        <f>Table4[[#This Row],[High_Traffic]]</f>
        <v>1</v>
      </c>
      <c r="H69" s="15">
        <f>IF(C69 &gt;= Table4[[#Totals],[Pax]], 1, 0)</f>
        <v>1</v>
      </c>
      <c r="I69" s="16">
        <f t="shared" si="4"/>
        <v>1</v>
      </c>
      <c r="J69" s="17"/>
      <c r="K69" s="17">
        <f>IF(C69 &gt;= Table5[[#Totals],[Pax]], 1, 0)</f>
        <v>1</v>
      </c>
      <c r="L69" s="17">
        <f>IF(C69 &gt;= Table5[[#Totals],[Pax]], 1, 0)</f>
        <v>1</v>
      </c>
      <c r="M69" s="17">
        <f t="shared" si="5"/>
        <v>1</v>
      </c>
    </row>
    <row r="70" spans="1:13" x14ac:dyDescent="0.35">
      <c r="A70" s="7">
        <v>9</v>
      </c>
      <c r="B70" s="6">
        <v>2008</v>
      </c>
      <c r="C70" s="10">
        <v>54007855</v>
      </c>
      <c r="D70" s="10">
        <v>47680001</v>
      </c>
      <c r="E70" s="10">
        <v>6327854</v>
      </c>
      <c r="F70" s="7" t="str">
        <f t="shared" si="3"/>
        <v>Fall</v>
      </c>
      <c r="G70">
        <f>Table4[[#This Row],[High_Traffic]]</f>
        <v>0</v>
      </c>
      <c r="H70" s="12">
        <f>IF(C70 &gt;= Table4[[#Totals],[Pax]], 1, 0)</f>
        <v>0</v>
      </c>
      <c r="I70" s="13">
        <f t="shared" si="4"/>
        <v>1</v>
      </c>
      <c r="J70" s="14"/>
      <c r="K70" s="14">
        <f>IF(C70 &gt;= Table5[[#Totals],[Pax]], 1, 0)</f>
        <v>0</v>
      </c>
      <c r="L70" s="14">
        <f>IF(C70 &gt;= Table5[[#Totals],[Pax]], 1, 0)</f>
        <v>0</v>
      </c>
      <c r="M70" s="14">
        <f t="shared" si="5"/>
        <v>1</v>
      </c>
    </row>
    <row r="71" spans="1:13" x14ac:dyDescent="0.35">
      <c r="A71" s="9">
        <v>10</v>
      </c>
      <c r="B71" s="8">
        <v>2008</v>
      </c>
      <c r="C71" s="11">
        <v>59429066</v>
      </c>
      <c r="D71" s="11">
        <v>52956023</v>
      </c>
      <c r="E71" s="11">
        <v>6473043</v>
      </c>
      <c r="F71" s="9" t="str">
        <f t="shared" si="3"/>
        <v>Fall</v>
      </c>
      <c r="G71">
        <f>Table4[[#This Row],[High_Traffic]]</f>
        <v>0</v>
      </c>
      <c r="H71" s="15">
        <f>IF(C71 &gt;= Table4[[#Totals],[Pax]], 1, 0)</f>
        <v>0</v>
      </c>
      <c r="I71" s="16">
        <f t="shared" si="4"/>
        <v>1</v>
      </c>
      <c r="J71" s="17"/>
      <c r="K71" s="17">
        <f>IF(C71 &gt;= Table5[[#Totals],[Pax]], 1, 0)</f>
        <v>0</v>
      </c>
      <c r="L71" s="17">
        <f>IF(C71 &gt;= Table5[[#Totals],[Pax]], 1, 0)</f>
        <v>0</v>
      </c>
      <c r="M71" s="17">
        <f t="shared" si="5"/>
        <v>1</v>
      </c>
    </row>
    <row r="72" spans="1:13" x14ac:dyDescent="0.35">
      <c r="A72" s="7">
        <v>11</v>
      </c>
      <c r="B72" s="6">
        <v>2008</v>
      </c>
      <c r="C72" s="10">
        <v>53825243</v>
      </c>
      <c r="D72" s="10">
        <v>47658141</v>
      </c>
      <c r="E72" s="10">
        <v>6167102</v>
      </c>
      <c r="F72" s="7" t="str">
        <f t="shared" si="3"/>
        <v>Fall</v>
      </c>
      <c r="G72">
        <f>Table4[[#This Row],[High_Traffic]]</f>
        <v>0</v>
      </c>
      <c r="H72" s="12">
        <f>IF(C72 &gt;= Table4[[#Totals],[Pax]], 1, 0)</f>
        <v>0</v>
      </c>
      <c r="I72" s="13">
        <f t="shared" si="4"/>
        <v>1</v>
      </c>
      <c r="J72" s="14"/>
      <c r="K72" s="14">
        <f>IF(C72 &gt;= Table5[[#Totals],[Pax]], 1, 0)</f>
        <v>0</v>
      </c>
      <c r="L72" s="14">
        <f>IF(C72 &gt;= Table5[[#Totals],[Pax]], 1, 0)</f>
        <v>0</v>
      </c>
      <c r="M72" s="14">
        <f t="shared" si="5"/>
        <v>1</v>
      </c>
    </row>
    <row r="73" spans="1:13" x14ac:dyDescent="0.35">
      <c r="A73" s="9">
        <v>12</v>
      </c>
      <c r="B73" s="8">
        <v>2008</v>
      </c>
      <c r="C73" s="11">
        <v>57134896</v>
      </c>
      <c r="D73" s="11">
        <v>50253658</v>
      </c>
      <c r="E73" s="11">
        <v>6881238</v>
      </c>
      <c r="F73" s="9" t="str">
        <f t="shared" si="3"/>
        <v>Fall</v>
      </c>
      <c r="G73">
        <f>Table4[[#This Row],[High_Traffic]]</f>
        <v>0</v>
      </c>
      <c r="H73" s="15">
        <f>IF(C73 &gt;= Table4[[#Totals],[Pax]], 1, 0)</f>
        <v>0</v>
      </c>
      <c r="I73" s="16">
        <f t="shared" si="4"/>
        <v>1</v>
      </c>
      <c r="J73" s="17"/>
      <c r="K73" s="17">
        <f>IF(C73 &gt;= Table5[[#Totals],[Pax]], 1, 0)</f>
        <v>0</v>
      </c>
      <c r="L73" s="17">
        <f>IF(C73 &gt;= Table5[[#Totals],[Pax]], 1, 0)</f>
        <v>0</v>
      </c>
      <c r="M73" s="17">
        <f t="shared" si="5"/>
        <v>1</v>
      </c>
    </row>
    <row r="74" spans="1:13" x14ac:dyDescent="0.35">
      <c r="A74" s="7">
        <v>1</v>
      </c>
      <c r="B74" s="6">
        <v>2009</v>
      </c>
      <c r="C74" s="10">
        <v>51559441</v>
      </c>
      <c r="D74" s="10">
        <v>44821711</v>
      </c>
      <c r="E74" s="10">
        <v>6737730</v>
      </c>
      <c r="F74" s="7" t="str">
        <f t="shared" si="3"/>
        <v>Fall</v>
      </c>
      <c r="G74">
        <f>Table4[[#This Row],[High_Traffic]]</f>
        <v>0</v>
      </c>
      <c r="H74" s="12">
        <f>IF(C74 &gt;= Table4[[#Totals],[Pax]], 1, 0)</f>
        <v>0</v>
      </c>
      <c r="I74" s="13">
        <f t="shared" si="4"/>
        <v>1</v>
      </c>
      <c r="J74" s="14"/>
      <c r="K74" s="14">
        <f>IF(C74 &gt;= Table5[[#Totals],[Pax]], 1, 0)</f>
        <v>0</v>
      </c>
      <c r="L74" s="14">
        <f>IF(C74 &gt;= Table5[[#Totals],[Pax]], 1, 0)</f>
        <v>0</v>
      </c>
      <c r="M74" s="14">
        <f t="shared" si="5"/>
        <v>1</v>
      </c>
    </row>
    <row r="75" spans="1:13" x14ac:dyDescent="0.35">
      <c r="A75" s="9">
        <v>2</v>
      </c>
      <c r="B75" s="8">
        <v>2009</v>
      </c>
      <c r="C75" s="11">
        <v>49647629</v>
      </c>
      <c r="D75" s="11">
        <v>43677233</v>
      </c>
      <c r="E75" s="11">
        <v>5970396</v>
      </c>
      <c r="F75" s="9" t="str">
        <f t="shared" si="3"/>
        <v>Fall</v>
      </c>
      <c r="G75">
        <f>Table4[[#This Row],[High_Traffic]]</f>
        <v>0</v>
      </c>
      <c r="H75" s="15">
        <f>IF(C75 &gt;= Table4[[#Totals],[Pax]], 1, 0)</f>
        <v>0</v>
      </c>
      <c r="I75" s="16">
        <f t="shared" si="4"/>
        <v>1</v>
      </c>
      <c r="J75" s="17"/>
      <c r="K75" s="17">
        <f>IF(C75 &gt;= Table5[[#Totals],[Pax]], 1, 0)</f>
        <v>0</v>
      </c>
      <c r="L75" s="17">
        <f>IF(C75 &gt;= Table5[[#Totals],[Pax]], 1, 0)</f>
        <v>0</v>
      </c>
      <c r="M75" s="17">
        <f t="shared" si="5"/>
        <v>1</v>
      </c>
    </row>
    <row r="76" spans="1:13" x14ac:dyDescent="0.35">
      <c r="A76" s="7">
        <v>3</v>
      </c>
      <c r="B76" s="6">
        <v>2009</v>
      </c>
      <c r="C76" s="10">
        <v>60758974</v>
      </c>
      <c r="D76" s="10">
        <v>53531487</v>
      </c>
      <c r="E76" s="10">
        <v>7227487</v>
      </c>
      <c r="F76" s="7" t="str">
        <f t="shared" si="3"/>
        <v>Fall</v>
      </c>
      <c r="G76">
        <f>Table4[[#This Row],[High_Traffic]]</f>
        <v>0</v>
      </c>
      <c r="H76" s="12">
        <f>IF(C76 &gt;= Table4[[#Totals],[Pax]], 1, 0)</f>
        <v>0</v>
      </c>
      <c r="I76" s="13">
        <f t="shared" si="4"/>
        <v>1</v>
      </c>
      <c r="J76" s="14"/>
      <c r="K76" s="14">
        <f>IF(C76 &gt;= Table5[[#Totals],[Pax]], 1, 0)</f>
        <v>0</v>
      </c>
      <c r="L76" s="14">
        <f>IF(C76 &gt;= Table5[[#Totals],[Pax]], 1, 0)</f>
        <v>0</v>
      </c>
      <c r="M76" s="14">
        <f t="shared" si="5"/>
        <v>1</v>
      </c>
    </row>
    <row r="77" spans="1:13" x14ac:dyDescent="0.35">
      <c r="A77" s="9">
        <v>4</v>
      </c>
      <c r="B77" s="8">
        <v>2009</v>
      </c>
      <c r="C77" s="11">
        <v>59331758</v>
      </c>
      <c r="D77" s="11">
        <v>52245401</v>
      </c>
      <c r="E77" s="11">
        <v>7086357</v>
      </c>
      <c r="F77" s="9" t="str">
        <f t="shared" si="3"/>
        <v>Fall</v>
      </c>
      <c r="G77">
        <f>Table4[[#This Row],[High_Traffic]]</f>
        <v>0</v>
      </c>
      <c r="H77" s="15">
        <f>IF(C77 &gt;= Table4[[#Totals],[Pax]], 1, 0)</f>
        <v>0</v>
      </c>
      <c r="I77" s="16">
        <f t="shared" si="4"/>
        <v>1</v>
      </c>
      <c r="J77" s="17"/>
      <c r="K77" s="17">
        <f>IF(C77 &gt;= Table5[[#Totals],[Pax]], 1, 0)</f>
        <v>0</v>
      </c>
      <c r="L77" s="17">
        <f>IF(C77 &gt;= Table5[[#Totals],[Pax]], 1, 0)</f>
        <v>0</v>
      </c>
      <c r="M77" s="17">
        <f t="shared" si="5"/>
        <v>1</v>
      </c>
    </row>
    <row r="78" spans="1:13" x14ac:dyDescent="0.35">
      <c r="A78" s="7">
        <v>5</v>
      </c>
      <c r="B78" s="6">
        <v>2009</v>
      </c>
      <c r="C78" s="10">
        <v>59545594</v>
      </c>
      <c r="D78" s="10">
        <v>52948582</v>
      </c>
      <c r="E78" s="10">
        <v>6597012</v>
      </c>
      <c r="F78" s="7" t="str">
        <f t="shared" si="3"/>
        <v>Fall</v>
      </c>
      <c r="G78">
        <f>Table4[[#This Row],[High_Traffic]]</f>
        <v>0</v>
      </c>
      <c r="H78" s="12">
        <f>IF(C78 &gt;= Table4[[#Totals],[Pax]], 1, 0)</f>
        <v>0</v>
      </c>
      <c r="I78" s="13">
        <f t="shared" si="4"/>
        <v>1</v>
      </c>
      <c r="J78" s="14"/>
      <c r="K78" s="14">
        <f>IF(C78 &gt;= Table5[[#Totals],[Pax]], 1, 0)</f>
        <v>0</v>
      </c>
      <c r="L78" s="14">
        <f>IF(C78 &gt;= Table5[[#Totals],[Pax]], 1, 0)</f>
        <v>0</v>
      </c>
      <c r="M78" s="14">
        <f t="shared" si="5"/>
        <v>1</v>
      </c>
    </row>
    <row r="79" spans="1:13" x14ac:dyDescent="0.35">
      <c r="A79" s="9">
        <v>6</v>
      </c>
      <c r="B79" s="8">
        <v>2009</v>
      </c>
      <c r="C79" s="11">
        <v>63358198</v>
      </c>
      <c r="D79" s="11">
        <v>55898027</v>
      </c>
      <c r="E79" s="11">
        <v>7460171</v>
      </c>
      <c r="F79" s="9" t="str">
        <f t="shared" si="3"/>
        <v>Fall</v>
      </c>
      <c r="G79">
        <f>Table4[[#This Row],[High_Traffic]]</f>
        <v>1</v>
      </c>
      <c r="H79" s="15">
        <f>IF(C79 &gt;= Table4[[#Totals],[Pax]], 1, 0)</f>
        <v>1</v>
      </c>
      <c r="I79" s="16">
        <f t="shared" si="4"/>
        <v>1</v>
      </c>
      <c r="J79" s="17"/>
      <c r="K79" s="17">
        <f>IF(C79 &gt;= Table5[[#Totals],[Pax]], 1, 0)</f>
        <v>1</v>
      </c>
      <c r="L79" s="17">
        <f>IF(C79 &gt;= Table5[[#Totals],[Pax]], 1, 0)</f>
        <v>1</v>
      </c>
      <c r="M79" s="17">
        <f t="shared" si="5"/>
        <v>1</v>
      </c>
    </row>
    <row r="80" spans="1:13" x14ac:dyDescent="0.35">
      <c r="A80" s="7">
        <v>7</v>
      </c>
      <c r="B80" s="6">
        <v>2009</v>
      </c>
      <c r="C80" s="10">
        <v>67868072</v>
      </c>
      <c r="D80" s="10">
        <v>59468957</v>
      </c>
      <c r="E80" s="10">
        <v>8399115</v>
      </c>
      <c r="F80" s="7" t="str">
        <f t="shared" si="3"/>
        <v>Fall</v>
      </c>
      <c r="G80">
        <f>Table4[[#This Row],[High_Traffic]]</f>
        <v>1</v>
      </c>
      <c r="H80" s="12">
        <f>IF(C80 &gt;= Table4[[#Totals],[Pax]], 1, 0)</f>
        <v>1</v>
      </c>
      <c r="I80" s="13">
        <f t="shared" si="4"/>
        <v>1</v>
      </c>
      <c r="J80" s="14"/>
      <c r="K80" s="14">
        <f>IF(C80 &gt;= Table5[[#Totals],[Pax]], 1, 0)</f>
        <v>1</v>
      </c>
      <c r="L80" s="14">
        <f>IF(C80 &gt;= Table5[[#Totals],[Pax]], 1, 0)</f>
        <v>1</v>
      </c>
      <c r="M80" s="14">
        <f t="shared" si="5"/>
        <v>1</v>
      </c>
    </row>
    <row r="81" spans="1:13" x14ac:dyDescent="0.35">
      <c r="A81" s="9">
        <v>8</v>
      </c>
      <c r="B81" s="8">
        <v>2009</v>
      </c>
      <c r="C81" s="11">
        <v>64786048</v>
      </c>
      <c r="D81" s="11">
        <v>56568180</v>
      </c>
      <c r="E81" s="11">
        <v>8217868</v>
      </c>
      <c r="F81" s="9" t="str">
        <f t="shared" si="3"/>
        <v>Fall</v>
      </c>
      <c r="G81">
        <f>Table4[[#This Row],[High_Traffic]]</f>
        <v>1</v>
      </c>
      <c r="H81" s="15">
        <f>IF(C81 &gt;= Table4[[#Totals],[Pax]], 1, 0)</f>
        <v>1</v>
      </c>
      <c r="I81" s="16">
        <f t="shared" si="4"/>
        <v>1</v>
      </c>
      <c r="J81" s="17"/>
      <c r="K81" s="17">
        <f>IF(C81 &gt;= Table5[[#Totals],[Pax]], 1, 0)</f>
        <v>1</v>
      </c>
      <c r="L81" s="17">
        <f>IF(C81 &gt;= Table5[[#Totals],[Pax]], 1, 0)</f>
        <v>1</v>
      </c>
      <c r="M81" s="17">
        <f t="shared" si="5"/>
        <v>1</v>
      </c>
    </row>
    <row r="82" spans="1:13" x14ac:dyDescent="0.35">
      <c r="A82" s="7">
        <v>9</v>
      </c>
      <c r="B82" s="6">
        <v>2009</v>
      </c>
      <c r="C82" s="10">
        <v>54454979</v>
      </c>
      <c r="D82" s="10">
        <v>48235025</v>
      </c>
      <c r="E82" s="10">
        <v>6219954</v>
      </c>
      <c r="F82" s="7" t="str">
        <f t="shared" si="3"/>
        <v>Fall</v>
      </c>
      <c r="G82">
        <f>Table4[[#This Row],[High_Traffic]]</f>
        <v>0</v>
      </c>
      <c r="H82" s="12">
        <f>IF(C82 &gt;= Table4[[#Totals],[Pax]], 1, 0)</f>
        <v>0</v>
      </c>
      <c r="I82" s="13">
        <f t="shared" si="4"/>
        <v>1</v>
      </c>
      <c r="J82" s="14"/>
      <c r="K82" s="14">
        <f>IF(C82 &gt;= Table5[[#Totals],[Pax]], 1, 0)</f>
        <v>0</v>
      </c>
      <c r="L82" s="14">
        <f>IF(C82 &gt;= Table5[[#Totals],[Pax]], 1, 0)</f>
        <v>0</v>
      </c>
      <c r="M82" s="14">
        <f t="shared" si="5"/>
        <v>1</v>
      </c>
    </row>
    <row r="83" spans="1:13" x14ac:dyDescent="0.35">
      <c r="A83" s="9">
        <v>10</v>
      </c>
      <c r="B83" s="8">
        <v>2009</v>
      </c>
      <c r="C83" s="11">
        <v>58574489</v>
      </c>
      <c r="D83" s="11">
        <v>52279405</v>
      </c>
      <c r="E83" s="11">
        <v>6295084</v>
      </c>
      <c r="F83" s="9" t="str">
        <f t="shared" si="3"/>
        <v>Fall</v>
      </c>
      <c r="G83">
        <f>Table4[[#This Row],[High_Traffic]]</f>
        <v>0</v>
      </c>
      <c r="H83" s="15">
        <f>IF(C83 &gt;= Table4[[#Totals],[Pax]], 1, 0)</f>
        <v>0</v>
      </c>
      <c r="I83" s="16">
        <f t="shared" si="4"/>
        <v>1</v>
      </c>
      <c r="J83" s="17"/>
      <c r="K83" s="17">
        <f>IF(C83 &gt;= Table5[[#Totals],[Pax]], 1, 0)</f>
        <v>0</v>
      </c>
      <c r="L83" s="17">
        <f>IF(C83 &gt;= Table5[[#Totals],[Pax]], 1, 0)</f>
        <v>0</v>
      </c>
      <c r="M83" s="17">
        <f t="shared" si="5"/>
        <v>1</v>
      </c>
    </row>
    <row r="84" spans="1:13" x14ac:dyDescent="0.35">
      <c r="A84" s="7">
        <v>11</v>
      </c>
      <c r="B84" s="6">
        <v>2009</v>
      </c>
      <c r="C84" s="10">
        <v>54593093</v>
      </c>
      <c r="D84" s="10">
        <v>48584832</v>
      </c>
      <c r="E84" s="10">
        <v>6008261</v>
      </c>
      <c r="F84" s="7" t="str">
        <f t="shared" si="3"/>
        <v>Fall</v>
      </c>
      <c r="G84">
        <f>Table4[[#This Row],[High_Traffic]]</f>
        <v>0</v>
      </c>
      <c r="H84" s="12">
        <f>IF(C84 &gt;= Table4[[#Totals],[Pax]], 1, 0)</f>
        <v>0</v>
      </c>
      <c r="I84" s="13">
        <f t="shared" si="4"/>
        <v>1</v>
      </c>
      <c r="J84" s="14"/>
      <c r="K84" s="14">
        <f>IF(C84 &gt;= Table5[[#Totals],[Pax]], 1, 0)</f>
        <v>0</v>
      </c>
      <c r="L84" s="14">
        <f>IF(C84 &gt;= Table5[[#Totals],[Pax]], 1, 0)</f>
        <v>0</v>
      </c>
      <c r="M84" s="14">
        <f t="shared" si="5"/>
        <v>1</v>
      </c>
    </row>
    <row r="85" spans="1:13" x14ac:dyDescent="0.35">
      <c r="A85" s="9">
        <v>12</v>
      </c>
      <c r="B85" s="8">
        <v>2009</v>
      </c>
      <c r="C85" s="11">
        <v>56686180</v>
      </c>
      <c r="D85" s="11">
        <v>49793438</v>
      </c>
      <c r="E85" s="11">
        <v>6892742</v>
      </c>
      <c r="F85" s="9" t="str">
        <f t="shared" si="3"/>
        <v>Fall</v>
      </c>
      <c r="G85">
        <f>Table4[[#This Row],[High_Traffic]]</f>
        <v>0</v>
      </c>
      <c r="H85" s="15">
        <f>IF(C85 &gt;= Table4[[#Totals],[Pax]], 1, 0)</f>
        <v>0</v>
      </c>
      <c r="I85" s="16">
        <f t="shared" si="4"/>
        <v>1</v>
      </c>
      <c r="J85" s="17"/>
      <c r="K85" s="17">
        <f>IF(C85 &gt;= Table5[[#Totals],[Pax]], 1, 0)</f>
        <v>0</v>
      </c>
      <c r="L85" s="17">
        <f>IF(C85 &gt;= Table5[[#Totals],[Pax]], 1, 0)</f>
        <v>0</v>
      </c>
      <c r="M85" s="17">
        <f t="shared" si="5"/>
        <v>1</v>
      </c>
    </row>
    <row r="86" spans="1:13" x14ac:dyDescent="0.35">
      <c r="A86" s="7">
        <v>1</v>
      </c>
      <c r="B86" s="6">
        <v>2010</v>
      </c>
      <c r="C86" s="10">
        <v>52317664</v>
      </c>
      <c r="D86" s="10">
        <v>45501620</v>
      </c>
      <c r="E86" s="10">
        <v>6816044</v>
      </c>
      <c r="F86" s="7" t="str">
        <f t="shared" si="3"/>
        <v>Fall</v>
      </c>
      <c r="G86">
        <f>Table4[[#This Row],[High_Traffic]]</f>
        <v>0</v>
      </c>
      <c r="H86" s="12">
        <f>IF(C86 &gt;= Table4[[#Totals],[Pax]], 1, 0)</f>
        <v>0</v>
      </c>
      <c r="I86" s="13">
        <f t="shared" si="4"/>
        <v>1</v>
      </c>
      <c r="J86" s="14"/>
      <c r="K86" s="14">
        <f>IF(C86 &gt;= Table5[[#Totals],[Pax]], 1, 0)</f>
        <v>0</v>
      </c>
      <c r="L86" s="14">
        <f>IF(C86 &gt;= Table5[[#Totals],[Pax]], 1, 0)</f>
        <v>0</v>
      </c>
      <c r="M86" s="14">
        <f t="shared" si="5"/>
        <v>1</v>
      </c>
    </row>
    <row r="87" spans="1:13" x14ac:dyDescent="0.35">
      <c r="A87" s="9">
        <v>2</v>
      </c>
      <c r="B87" s="8">
        <v>2010</v>
      </c>
      <c r="C87" s="11">
        <v>48455029</v>
      </c>
      <c r="D87" s="11">
        <v>42440614</v>
      </c>
      <c r="E87" s="11">
        <v>6014415</v>
      </c>
      <c r="F87" s="9" t="str">
        <f t="shared" si="3"/>
        <v>Fall</v>
      </c>
      <c r="G87">
        <f>Table4[[#This Row],[High_Traffic]]</f>
        <v>0</v>
      </c>
      <c r="H87" s="15">
        <f>IF(C87 &gt;= Table4[[#Totals],[Pax]], 1, 0)</f>
        <v>0</v>
      </c>
      <c r="I87" s="16">
        <f t="shared" si="4"/>
        <v>1</v>
      </c>
      <c r="J87" s="17"/>
      <c r="K87" s="17">
        <f>IF(C87 &gt;= Table5[[#Totals],[Pax]], 1, 0)</f>
        <v>0</v>
      </c>
      <c r="L87" s="17">
        <f>IF(C87 &gt;= Table5[[#Totals],[Pax]], 1, 0)</f>
        <v>0</v>
      </c>
      <c r="M87" s="17">
        <f t="shared" si="5"/>
        <v>1</v>
      </c>
    </row>
    <row r="88" spans="1:13" x14ac:dyDescent="0.35">
      <c r="A88" s="7">
        <v>3</v>
      </c>
      <c r="B88" s="6">
        <v>2010</v>
      </c>
      <c r="C88" s="10">
        <v>61955394</v>
      </c>
      <c r="D88" s="10">
        <v>54424077</v>
      </c>
      <c r="E88" s="10">
        <v>7531317</v>
      </c>
      <c r="F88" s="7" t="str">
        <f t="shared" si="3"/>
        <v>Fall</v>
      </c>
      <c r="G88">
        <f>Table4[[#This Row],[High_Traffic]]</f>
        <v>0</v>
      </c>
      <c r="H88" s="12">
        <f>IF(C88 &gt;= Table4[[#Totals],[Pax]], 1, 0)</f>
        <v>0</v>
      </c>
      <c r="I88" s="13">
        <f t="shared" si="4"/>
        <v>1</v>
      </c>
      <c r="J88" s="14"/>
      <c r="K88" s="14">
        <f>IF(C88 &gt;= Table5[[#Totals],[Pax]], 1, 0)</f>
        <v>0</v>
      </c>
      <c r="L88" s="14">
        <f>IF(C88 &gt;= Table5[[#Totals],[Pax]], 1, 0)</f>
        <v>0</v>
      </c>
      <c r="M88" s="14">
        <f t="shared" si="5"/>
        <v>1</v>
      </c>
    </row>
    <row r="89" spans="1:13" x14ac:dyDescent="0.35">
      <c r="A89" s="9">
        <v>4</v>
      </c>
      <c r="B89" s="8">
        <v>2010</v>
      </c>
      <c r="C89" s="11">
        <v>59439496</v>
      </c>
      <c r="D89" s="11">
        <v>52498074</v>
      </c>
      <c r="E89" s="11">
        <v>6941422</v>
      </c>
      <c r="F89" s="9" t="str">
        <f t="shared" si="3"/>
        <v>Fall</v>
      </c>
      <c r="G89">
        <f>Table4[[#This Row],[High_Traffic]]</f>
        <v>0</v>
      </c>
      <c r="H89" s="15">
        <f>IF(C89 &gt;= Table4[[#Totals],[Pax]], 1, 0)</f>
        <v>0</v>
      </c>
      <c r="I89" s="16">
        <f t="shared" si="4"/>
        <v>1</v>
      </c>
      <c r="J89" s="17"/>
      <c r="K89" s="17">
        <f>IF(C89 &gt;= Table5[[#Totals],[Pax]], 1, 0)</f>
        <v>0</v>
      </c>
      <c r="L89" s="17">
        <f>IF(C89 &gt;= Table5[[#Totals],[Pax]], 1, 0)</f>
        <v>0</v>
      </c>
      <c r="M89" s="17">
        <f t="shared" si="5"/>
        <v>1</v>
      </c>
    </row>
    <row r="90" spans="1:13" x14ac:dyDescent="0.35">
      <c r="A90" s="7">
        <v>5</v>
      </c>
      <c r="B90" s="6">
        <v>2010</v>
      </c>
      <c r="C90" s="10">
        <v>61245021</v>
      </c>
      <c r="D90" s="10">
        <v>53842422</v>
      </c>
      <c r="E90" s="10">
        <v>7402599</v>
      </c>
      <c r="F90" s="7" t="str">
        <f t="shared" si="3"/>
        <v>Fall</v>
      </c>
      <c r="G90">
        <f>Table4[[#This Row],[High_Traffic]]</f>
        <v>0</v>
      </c>
      <c r="H90" s="12">
        <f>IF(C90 &gt;= Table4[[#Totals],[Pax]], 1, 0)</f>
        <v>0</v>
      </c>
      <c r="I90" s="13">
        <f t="shared" si="4"/>
        <v>1</v>
      </c>
      <c r="J90" s="14"/>
      <c r="K90" s="14">
        <f>IF(C90 &gt;= Table5[[#Totals],[Pax]], 1, 0)</f>
        <v>0</v>
      </c>
      <c r="L90" s="14">
        <f>IF(C90 &gt;= Table5[[#Totals],[Pax]], 1, 0)</f>
        <v>0</v>
      </c>
      <c r="M90" s="14">
        <f t="shared" si="5"/>
        <v>1</v>
      </c>
    </row>
    <row r="91" spans="1:13" x14ac:dyDescent="0.35">
      <c r="A91" s="9">
        <v>6</v>
      </c>
      <c r="B91" s="8">
        <v>2010</v>
      </c>
      <c r="C91" s="11">
        <v>64790347</v>
      </c>
      <c r="D91" s="11">
        <v>56689853</v>
      </c>
      <c r="E91" s="11">
        <v>8100494</v>
      </c>
      <c r="F91" s="9" t="str">
        <f t="shared" si="3"/>
        <v>Fall</v>
      </c>
      <c r="G91">
        <f>Table4[[#This Row],[High_Traffic]]</f>
        <v>1</v>
      </c>
      <c r="H91" s="15">
        <f>IF(C91 &gt;= Table4[[#Totals],[Pax]], 1, 0)</f>
        <v>1</v>
      </c>
      <c r="I91" s="16">
        <f t="shared" si="4"/>
        <v>1</v>
      </c>
      <c r="J91" s="17"/>
      <c r="K91" s="17">
        <f>IF(C91 &gt;= Table5[[#Totals],[Pax]], 1, 0)</f>
        <v>1</v>
      </c>
      <c r="L91" s="17">
        <f>IF(C91 &gt;= Table5[[#Totals],[Pax]], 1, 0)</f>
        <v>1</v>
      </c>
      <c r="M91" s="17">
        <f t="shared" si="5"/>
        <v>1</v>
      </c>
    </row>
    <row r="92" spans="1:13" x14ac:dyDescent="0.35">
      <c r="A92" s="7">
        <v>7</v>
      </c>
      <c r="B92" s="6">
        <v>2010</v>
      </c>
      <c r="C92" s="10">
        <v>68194795</v>
      </c>
      <c r="D92" s="10">
        <v>59142493</v>
      </c>
      <c r="E92" s="10">
        <v>9052302</v>
      </c>
      <c r="F92" s="7" t="str">
        <f t="shared" si="3"/>
        <v>Fall</v>
      </c>
      <c r="G92">
        <f>Table4[[#This Row],[High_Traffic]]</f>
        <v>1</v>
      </c>
      <c r="H92" s="12">
        <f>IF(C92 &gt;= Table4[[#Totals],[Pax]], 1, 0)</f>
        <v>1</v>
      </c>
      <c r="I92" s="13">
        <f t="shared" si="4"/>
        <v>1</v>
      </c>
      <c r="J92" s="14"/>
      <c r="K92" s="14">
        <f>IF(C92 &gt;= Table5[[#Totals],[Pax]], 1, 0)</f>
        <v>1</v>
      </c>
      <c r="L92" s="14">
        <f>IF(C92 &gt;= Table5[[#Totals],[Pax]], 1, 0)</f>
        <v>1</v>
      </c>
      <c r="M92" s="14">
        <f t="shared" si="5"/>
        <v>1</v>
      </c>
    </row>
    <row r="93" spans="1:13" x14ac:dyDescent="0.35">
      <c r="A93" s="9">
        <v>8</v>
      </c>
      <c r="B93" s="8">
        <v>2010</v>
      </c>
      <c r="C93" s="11">
        <v>66017267</v>
      </c>
      <c r="D93" s="11">
        <v>57370748</v>
      </c>
      <c r="E93" s="11">
        <v>8646519</v>
      </c>
      <c r="F93" s="9" t="str">
        <f t="shared" si="3"/>
        <v>Fall</v>
      </c>
      <c r="G93">
        <f>Table4[[#This Row],[High_Traffic]]</f>
        <v>1</v>
      </c>
      <c r="H93" s="15">
        <f>IF(C93 &gt;= Table4[[#Totals],[Pax]], 1, 0)</f>
        <v>1</v>
      </c>
      <c r="I93" s="16">
        <f t="shared" si="4"/>
        <v>1</v>
      </c>
      <c r="J93" s="17"/>
      <c r="K93" s="17">
        <f>IF(C93 &gt;= Table5[[#Totals],[Pax]], 1, 0)</f>
        <v>1</v>
      </c>
      <c r="L93" s="17">
        <f>IF(C93 &gt;= Table5[[#Totals],[Pax]], 1, 0)</f>
        <v>1</v>
      </c>
      <c r="M93" s="17">
        <f t="shared" si="5"/>
        <v>1</v>
      </c>
    </row>
    <row r="94" spans="1:13" x14ac:dyDescent="0.35">
      <c r="A94" s="7">
        <v>9</v>
      </c>
      <c r="B94" s="6">
        <v>2010</v>
      </c>
      <c r="C94" s="10">
        <v>57152165</v>
      </c>
      <c r="D94" s="10">
        <v>50304708</v>
      </c>
      <c r="E94" s="10">
        <v>6847457</v>
      </c>
      <c r="F94" s="7" t="str">
        <f t="shared" si="3"/>
        <v>Fall</v>
      </c>
      <c r="G94">
        <f>Table4[[#This Row],[High_Traffic]]</f>
        <v>0</v>
      </c>
      <c r="H94" s="12">
        <f>IF(C94 &gt;= Table4[[#Totals],[Pax]], 1, 0)</f>
        <v>0</v>
      </c>
      <c r="I94" s="13">
        <f t="shared" si="4"/>
        <v>1</v>
      </c>
      <c r="J94" s="14"/>
      <c r="K94" s="14">
        <f>IF(C94 &gt;= Table5[[#Totals],[Pax]], 1, 0)</f>
        <v>0</v>
      </c>
      <c r="L94" s="14">
        <f>IF(C94 &gt;= Table5[[#Totals],[Pax]], 1, 0)</f>
        <v>0</v>
      </c>
      <c r="M94" s="14">
        <f t="shared" si="5"/>
        <v>1</v>
      </c>
    </row>
    <row r="95" spans="1:13" x14ac:dyDescent="0.35">
      <c r="A95" s="9">
        <v>10</v>
      </c>
      <c r="B95" s="8">
        <v>2010</v>
      </c>
      <c r="C95" s="11">
        <v>61898533</v>
      </c>
      <c r="D95" s="11">
        <v>54826050</v>
      </c>
      <c r="E95" s="11">
        <v>7072483</v>
      </c>
      <c r="F95" s="9" t="str">
        <f t="shared" si="3"/>
        <v>Fall</v>
      </c>
      <c r="G95">
        <f>Table4[[#This Row],[High_Traffic]]</f>
        <v>0</v>
      </c>
      <c r="H95" s="15">
        <f>IF(C95 &gt;= Table4[[#Totals],[Pax]], 1, 0)</f>
        <v>0</v>
      </c>
      <c r="I95" s="16">
        <f t="shared" si="4"/>
        <v>1</v>
      </c>
      <c r="J95" s="17"/>
      <c r="K95" s="17">
        <f>IF(C95 &gt;= Table5[[#Totals],[Pax]], 1, 0)</f>
        <v>0</v>
      </c>
      <c r="L95" s="17">
        <f>IF(C95 &gt;= Table5[[#Totals],[Pax]], 1, 0)</f>
        <v>0</v>
      </c>
      <c r="M95" s="17">
        <f t="shared" si="5"/>
        <v>1</v>
      </c>
    </row>
    <row r="96" spans="1:13" x14ac:dyDescent="0.35">
      <c r="A96" s="7">
        <v>11</v>
      </c>
      <c r="B96" s="6">
        <v>2010</v>
      </c>
      <c r="C96" s="10">
        <v>57930539</v>
      </c>
      <c r="D96" s="10">
        <v>51420350</v>
      </c>
      <c r="E96" s="10">
        <v>6510189</v>
      </c>
      <c r="F96" s="7" t="str">
        <f t="shared" si="3"/>
        <v>Fall</v>
      </c>
      <c r="G96">
        <f>Table4[[#This Row],[High_Traffic]]</f>
        <v>0</v>
      </c>
      <c r="H96" s="12">
        <f>IF(C96 &gt;= Table4[[#Totals],[Pax]], 1, 0)</f>
        <v>0</v>
      </c>
      <c r="I96" s="13">
        <f t="shared" si="4"/>
        <v>1</v>
      </c>
      <c r="J96" s="14"/>
      <c r="K96" s="14">
        <f>IF(C96 &gt;= Table5[[#Totals],[Pax]], 1, 0)</f>
        <v>0</v>
      </c>
      <c r="L96" s="14">
        <f>IF(C96 &gt;= Table5[[#Totals],[Pax]], 1, 0)</f>
        <v>0</v>
      </c>
      <c r="M96" s="14">
        <f t="shared" si="5"/>
        <v>1</v>
      </c>
    </row>
    <row r="97" spans="1:13" x14ac:dyDescent="0.35">
      <c r="A97" s="9">
        <v>12</v>
      </c>
      <c r="B97" s="8">
        <v>2010</v>
      </c>
      <c r="C97" s="11">
        <v>58347806</v>
      </c>
      <c r="D97" s="11">
        <v>51076415</v>
      </c>
      <c r="E97" s="11">
        <v>7271391</v>
      </c>
      <c r="F97" s="9" t="str">
        <f t="shared" si="3"/>
        <v>Fall</v>
      </c>
      <c r="G97">
        <f>Table4[[#This Row],[High_Traffic]]</f>
        <v>0</v>
      </c>
      <c r="H97" s="15">
        <f>IF(C97 &gt;= Table4[[#Totals],[Pax]], 1, 0)</f>
        <v>0</v>
      </c>
      <c r="I97" s="16">
        <f t="shared" si="4"/>
        <v>1</v>
      </c>
      <c r="J97" s="17"/>
      <c r="K97" s="17">
        <f>IF(C97 &gt;= Table5[[#Totals],[Pax]], 1, 0)</f>
        <v>0</v>
      </c>
      <c r="L97" s="17">
        <f>IF(C97 &gt;= Table5[[#Totals],[Pax]], 1, 0)</f>
        <v>0</v>
      </c>
      <c r="M97" s="17">
        <f t="shared" si="5"/>
        <v>1</v>
      </c>
    </row>
    <row r="98" spans="1:13" x14ac:dyDescent="0.35">
      <c r="A98" s="7">
        <v>1</v>
      </c>
      <c r="B98" s="6">
        <v>2011</v>
      </c>
      <c r="C98" s="10">
        <v>53460393</v>
      </c>
      <c r="D98" s="10">
        <v>46304921</v>
      </c>
      <c r="E98" s="10">
        <v>7155472</v>
      </c>
      <c r="F98" s="7" t="str">
        <f t="shared" si="3"/>
        <v>Fall</v>
      </c>
      <c r="G98">
        <f>Table4[[#This Row],[High_Traffic]]</f>
        <v>0</v>
      </c>
      <c r="H98" s="12">
        <f>IF(C98 &gt;= Table4[[#Totals],[Pax]], 1, 0)</f>
        <v>0</v>
      </c>
      <c r="I98" s="13">
        <f t="shared" si="4"/>
        <v>1</v>
      </c>
      <c r="J98" s="14"/>
      <c r="K98" s="14">
        <f>IF(C98 &gt;= Table5[[#Totals],[Pax]], 1, 0)</f>
        <v>0</v>
      </c>
      <c r="L98" s="14">
        <f>IF(C98 &gt;= Table5[[#Totals],[Pax]], 1, 0)</f>
        <v>0</v>
      </c>
      <c r="M98" s="14">
        <f t="shared" si="5"/>
        <v>1</v>
      </c>
    </row>
    <row r="99" spans="1:13" x14ac:dyDescent="0.35">
      <c r="A99" s="9">
        <v>2</v>
      </c>
      <c r="B99" s="8">
        <v>2011</v>
      </c>
      <c r="C99" s="11">
        <v>49863476</v>
      </c>
      <c r="D99" s="11">
        <v>43657818</v>
      </c>
      <c r="E99" s="11">
        <v>6205658</v>
      </c>
      <c r="F99" s="9" t="str">
        <f t="shared" si="3"/>
        <v>Fall</v>
      </c>
      <c r="G99">
        <f>Table4[[#This Row],[High_Traffic]]</f>
        <v>0</v>
      </c>
      <c r="H99" s="15">
        <f>IF(C99 &gt;= Table4[[#Totals],[Pax]], 1, 0)</f>
        <v>0</v>
      </c>
      <c r="I99" s="16">
        <f t="shared" si="4"/>
        <v>1</v>
      </c>
      <c r="J99" s="17"/>
      <c r="K99" s="17">
        <f>IF(C99 &gt;= Table5[[#Totals],[Pax]], 1, 0)</f>
        <v>0</v>
      </c>
      <c r="L99" s="17">
        <f>IF(C99 &gt;= Table5[[#Totals],[Pax]], 1, 0)</f>
        <v>0</v>
      </c>
      <c r="M99" s="17">
        <f t="shared" si="5"/>
        <v>1</v>
      </c>
    </row>
    <row r="100" spans="1:13" x14ac:dyDescent="0.35">
      <c r="A100" s="7">
        <v>3</v>
      </c>
      <c r="B100" s="6">
        <v>2011</v>
      </c>
      <c r="C100" s="10">
        <v>63382901</v>
      </c>
      <c r="D100" s="10">
        <v>55649428</v>
      </c>
      <c r="E100" s="10">
        <v>7733473</v>
      </c>
      <c r="F100" s="7" t="str">
        <f t="shared" si="3"/>
        <v>Fall</v>
      </c>
      <c r="G100">
        <f>Table4[[#This Row],[High_Traffic]]</f>
        <v>1</v>
      </c>
      <c r="H100" s="12">
        <f>IF(C100 &gt;= Table4[[#Totals],[Pax]], 1, 0)</f>
        <v>1</v>
      </c>
      <c r="I100" s="13">
        <f t="shared" si="4"/>
        <v>1</v>
      </c>
      <c r="J100" s="14"/>
      <c r="K100" s="14">
        <f>IF(C100 &gt;= Table5[[#Totals],[Pax]], 1, 0)</f>
        <v>1</v>
      </c>
      <c r="L100" s="14">
        <f>IF(C100 &gt;= Table5[[#Totals],[Pax]], 1, 0)</f>
        <v>1</v>
      </c>
      <c r="M100" s="14">
        <f t="shared" si="5"/>
        <v>1</v>
      </c>
    </row>
    <row r="101" spans="1:13" x14ac:dyDescent="0.35">
      <c r="A101" s="9">
        <v>4</v>
      </c>
      <c r="B101" s="8">
        <v>2011</v>
      </c>
      <c r="C101" s="11">
        <v>60353552</v>
      </c>
      <c r="D101" s="11">
        <v>52858479</v>
      </c>
      <c r="E101" s="11">
        <v>7495073</v>
      </c>
      <c r="F101" s="9" t="str">
        <f t="shared" si="3"/>
        <v>Fall</v>
      </c>
      <c r="G101">
        <f>Table4[[#This Row],[High_Traffic]]</f>
        <v>0</v>
      </c>
      <c r="H101" s="15">
        <f>IF(C101 &gt;= Table4[[#Totals],[Pax]], 1, 0)</f>
        <v>0</v>
      </c>
      <c r="I101" s="16">
        <f t="shared" si="4"/>
        <v>1</v>
      </c>
      <c r="J101" s="17"/>
      <c r="K101" s="17">
        <f>IF(C101 &gt;= Table5[[#Totals],[Pax]], 1, 0)</f>
        <v>0</v>
      </c>
      <c r="L101" s="17">
        <f>IF(C101 &gt;= Table5[[#Totals],[Pax]], 1, 0)</f>
        <v>0</v>
      </c>
      <c r="M101" s="17">
        <f t="shared" si="5"/>
        <v>1</v>
      </c>
    </row>
    <row r="102" spans="1:13" x14ac:dyDescent="0.35">
      <c r="A102" s="7">
        <v>5</v>
      </c>
      <c r="B102" s="6">
        <v>2011</v>
      </c>
      <c r="C102" s="10">
        <v>63654184</v>
      </c>
      <c r="D102" s="10">
        <v>55982234</v>
      </c>
      <c r="E102" s="10">
        <v>7671950</v>
      </c>
      <c r="F102" s="7" t="str">
        <f t="shared" si="3"/>
        <v>Fall</v>
      </c>
      <c r="G102">
        <f>Table4[[#This Row],[High_Traffic]]</f>
        <v>1</v>
      </c>
      <c r="H102" s="12">
        <f>IF(C102 &gt;= Table4[[#Totals],[Pax]], 1, 0)</f>
        <v>1</v>
      </c>
      <c r="I102" s="13">
        <f t="shared" si="4"/>
        <v>1</v>
      </c>
      <c r="J102" s="14"/>
      <c r="K102" s="14">
        <f>IF(C102 &gt;= Table5[[#Totals],[Pax]], 1, 0)</f>
        <v>1</v>
      </c>
      <c r="L102" s="14">
        <f>IF(C102 &gt;= Table5[[#Totals],[Pax]], 1, 0)</f>
        <v>1</v>
      </c>
      <c r="M102" s="14">
        <f t="shared" si="5"/>
        <v>1</v>
      </c>
    </row>
    <row r="103" spans="1:13" x14ac:dyDescent="0.35">
      <c r="A103" s="9">
        <v>6</v>
      </c>
      <c r="B103" s="8">
        <v>2011</v>
      </c>
      <c r="C103" s="11">
        <v>66035331</v>
      </c>
      <c r="D103" s="11">
        <v>57778699</v>
      </c>
      <c r="E103" s="11">
        <v>8256632</v>
      </c>
      <c r="F103" s="9" t="str">
        <f t="shared" si="3"/>
        <v>Fall</v>
      </c>
      <c r="G103">
        <f>Table4[[#This Row],[High_Traffic]]</f>
        <v>1</v>
      </c>
      <c r="H103" s="15">
        <f>IF(C103 &gt;= Table4[[#Totals],[Pax]], 1, 0)</f>
        <v>1</v>
      </c>
      <c r="I103" s="16">
        <f t="shared" si="4"/>
        <v>1</v>
      </c>
      <c r="J103" s="17"/>
      <c r="K103" s="17">
        <f>IF(C103 &gt;= Table5[[#Totals],[Pax]], 1, 0)</f>
        <v>1</v>
      </c>
      <c r="L103" s="17">
        <f>IF(C103 &gt;= Table5[[#Totals],[Pax]], 1, 0)</f>
        <v>1</v>
      </c>
      <c r="M103" s="17">
        <f t="shared" si="5"/>
        <v>1</v>
      </c>
    </row>
    <row r="104" spans="1:13" x14ac:dyDescent="0.35">
      <c r="A104" s="7">
        <v>7</v>
      </c>
      <c r="B104" s="6">
        <v>2011</v>
      </c>
      <c r="C104" s="10">
        <v>69694536</v>
      </c>
      <c r="D104" s="10">
        <v>60310295</v>
      </c>
      <c r="E104" s="10">
        <v>9384241</v>
      </c>
      <c r="F104" s="7" t="str">
        <f t="shared" si="3"/>
        <v>Fall</v>
      </c>
      <c r="G104">
        <f>Table4[[#This Row],[High_Traffic]]</f>
        <v>1</v>
      </c>
      <c r="H104" s="12">
        <f>IF(C104 &gt;= Table4[[#Totals],[Pax]], 1, 0)</f>
        <v>1</v>
      </c>
      <c r="I104" s="13">
        <f t="shared" si="4"/>
        <v>1</v>
      </c>
      <c r="J104" s="14"/>
      <c r="K104" s="14">
        <f>IF(C104 &gt;= Table5[[#Totals],[Pax]], 1, 0)</f>
        <v>1</v>
      </c>
      <c r="L104" s="14">
        <f>IF(C104 &gt;= Table5[[#Totals],[Pax]], 1, 0)</f>
        <v>1</v>
      </c>
      <c r="M104" s="14">
        <f t="shared" si="5"/>
        <v>1</v>
      </c>
    </row>
    <row r="105" spans="1:13" x14ac:dyDescent="0.35">
      <c r="A105" s="9">
        <v>8</v>
      </c>
      <c r="B105" s="8">
        <v>2011</v>
      </c>
      <c r="C105" s="11">
        <v>66081317</v>
      </c>
      <c r="D105" s="11">
        <v>57403835</v>
      </c>
      <c r="E105" s="11">
        <v>8677482</v>
      </c>
      <c r="F105" s="9" t="str">
        <f t="shared" si="3"/>
        <v>Fall</v>
      </c>
      <c r="G105">
        <f>Table4[[#This Row],[High_Traffic]]</f>
        <v>1</v>
      </c>
      <c r="H105" s="15">
        <f>IF(C105 &gt;= Table4[[#Totals],[Pax]], 1, 0)</f>
        <v>1</v>
      </c>
      <c r="I105" s="16">
        <f t="shared" si="4"/>
        <v>1</v>
      </c>
      <c r="J105" s="17"/>
      <c r="K105" s="17">
        <f>IF(C105 &gt;= Table5[[#Totals],[Pax]], 1, 0)</f>
        <v>1</v>
      </c>
      <c r="L105" s="17">
        <f>IF(C105 &gt;= Table5[[#Totals],[Pax]], 1, 0)</f>
        <v>1</v>
      </c>
      <c r="M105" s="17">
        <f t="shared" si="5"/>
        <v>1</v>
      </c>
    </row>
    <row r="106" spans="1:13" x14ac:dyDescent="0.35">
      <c r="A106" s="7">
        <v>9</v>
      </c>
      <c r="B106" s="6">
        <v>2011</v>
      </c>
      <c r="C106" s="10">
        <v>57875453</v>
      </c>
      <c r="D106" s="10">
        <v>50982170</v>
      </c>
      <c r="E106" s="10">
        <v>6893283</v>
      </c>
      <c r="F106" s="7" t="str">
        <f t="shared" si="3"/>
        <v>Fall</v>
      </c>
      <c r="G106">
        <f>Table4[[#This Row],[High_Traffic]]</f>
        <v>0</v>
      </c>
      <c r="H106" s="12">
        <f>IF(C106 &gt;= Table4[[#Totals],[Pax]], 1, 0)</f>
        <v>0</v>
      </c>
      <c r="I106" s="13">
        <f t="shared" si="4"/>
        <v>1</v>
      </c>
      <c r="J106" s="14"/>
      <c r="K106" s="14">
        <f>IF(C106 &gt;= Table5[[#Totals],[Pax]], 1, 0)</f>
        <v>0</v>
      </c>
      <c r="L106" s="14">
        <f>IF(C106 &gt;= Table5[[#Totals],[Pax]], 1, 0)</f>
        <v>0</v>
      </c>
      <c r="M106" s="14">
        <f t="shared" si="5"/>
        <v>1</v>
      </c>
    </row>
    <row r="107" spans="1:13" x14ac:dyDescent="0.35">
      <c r="A107" s="9">
        <v>10</v>
      </c>
      <c r="B107" s="8">
        <v>2011</v>
      </c>
      <c r="C107" s="11">
        <v>61008771</v>
      </c>
      <c r="D107" s="11">
        <v>54124363</v>
      </c>
      <c r="E107" s="11">
        <v>6884408</v>
      </c>
      <c r="F107" s="9" t="str">
        <f t="shared" si="3"/>
        <v>Fall</v>
      </c>
      <c r="G107">
        <f>Table4[[#This Row],[High_Traffic]]</f>
        <v>0</v>
      </c>
      <c r="H107" s="15">
        <f>IF(C107 &gt;= Table4[[#Totals],[Pax]], 1, 0)</f>
        <v>0</v>
      </c>
      <c r="I107" s="16">
        <f t="shared" si="4"/>
        <v>1</v>
      </c>
      <c r="J107" s="17"/>
      <c r="K107" s="17">
        <f>IF(C107 &gt;= Table5[[#Totals],[Pax]], 1, 0)</f>
        <v>0</v>
      </c>
      <c r="L107" s="17">
        <f>IF(C107 &gt;= Table5[[#Totals],[Pax]], 1, 0)</f>
        <v>0</v>
      </c>
      <c r="M107" s="17">
        <f t="shared" si="5"/>
        <v>1</v>
      </c>
    </row>
    <row r="108" spans="1:13" x14ac:dyDescent="0.35">
      <c r="A108" s="7">
        <v>11</v>
      </c>
      <c r="B108" s="6">
        <v>2011</v>
      </c>
      <c r="C108" s="10">
        <v>58091963</v>
      </c>
      <c r="D108" s="10">
        <v>51660083</v>
      </c>
      <c r="E108" s="10">
        <v>6431880</v>
      </c>
      <c r="F108" s="7" t="str">
        <f t="shared" si="3"/>
        <v>Fall</v>
      </c>
      <c r="G108">
        <f>Table4[[#This Row],[High_Traffic]]</f>
        <v>0</v>
      </c>
      <c r="H108" s="12">
        <f>IF(C108 &gt;= Table4[[#Totals],[Pax]], 1, 0)</f>
        <v>0</v>
      </c>
      <c r="I108" s="13">
        <f t="shared" si="4"/>
        <v>1</v>
      </c>
      <c r="J108" s="14"/>
      <c r="K108" s="14">
        <f>IF(C108 &gt;= Table5[[#Totals],[Pax]], 1, 0)</f>
        <v>0</v>
      </c>
      <c r="L108" s="14">
        <f>IF(C108 &gt;= Table5[[#Totals],[Pax]], 1, 0)</f>
        <v>0</v>
      </c>
      <c r="M108" s="14">
        <f t="shared" si="5"/>
        <v>1</v>
      </c>
    </row>
    <row r="109" spans="1:13" x14ac:dyDescent="0.35">
      <c r="A109" s="9">
        <v>12</v>
      </c>
      <c r="B109" s="8">
        <v>2011</v>
      </c>
      <c r="C109" s="11">
        <v>58866420</v>
      </c>
      <c r="D109" s="11">
        <v>51534907</v>
      </c>
      <c r="E109" s="11">
        <v>7331513</v>
      </c>
      <c r="F109" s="9" t="str">
        <f t="shared" si="3"/>
        <v>Fall</v>
      </c>
      <c r="G109">
        <f>Table4[[#This Row],[High_Traffic]]</f>
        <v>0</v>
      </c>
      <c r="H109" s="15">
        <f>IF(C109 &gt;= Table4[[#Totals],[Pax]], 1, 0)</f>
        <v>0</v>
      </c>
      <c r="I109" s="16">
        <f t="shared" si="4"/>
        <v>1</v>
      </c>
      <c r="J109" s="17"/>
      <c r="K109" s="17">
        <f>IF(C109 &gt;= Table5[[#Totals],[Pax]], 1, 0)</f>
        <v>0</v>
      </c>
      <c r="L109" s="17">
        <f>IF(C109 &gt;= Table5[[#Totals],[Pax]], 1, 0)</f>
        <v>0</v>
      </c>
      <c r="M109" s="17">
        <f t="shared" si="5"/>
        <v>1</v>
      </c>
    </row>
    <row r="110" spans="1:13" x14ac:dyDescent="0.35">
      <c r="A110" s="7">
        <v>1</v>
      </c>
      <c r="B110" s="6">
        <v>2012</v>
      </c>
      <c r="C110" s="10">
        <v>54236163</v>
      </c>
      <c r="D110" s="10">
        <v>47080430</v>
      </c>
      <c r="E110" s="10">
        <v>7155733</v>
      </c>
      <c r="F110" s="7" t="str">
        <f t="shared" si="3"/>
        <v>Fall</v>
      </c>
      <c r="G110">
        <f>Table4[[#This Row],[High_Traffic]]</f>
        <v>0</v>
      </c>
      <c r="H110" s="12">
        <f>IF(C110 &gt;= Table4[[#Totals],[Pax]], 1, 0)</f>
        <v>0</v>
      </c>
      <c r="I110" s="13">
        <f t="shared" si="4"/>
        <v>1</v>
      </c>
      <c r="J110" s="14"/>
      <c r="K110" s="14">
        <f>IF(C110 &gt;= Table5[[#Totals],[Pax]], 1, 0)</f>
        <v>0</v>
      </c>
      <c r="L110" s="14">
        <f>IF(C110 &gt;= Table5[[#Totals],[Pax]], 1, 0)</f>
        <v>0</v>
      </c>
      <c r="M110" s="14">
        <f t="shared" si="5"/>
        <v>1</v>
      </c>
    </row>
    <row r="111" spans="1:13" x14ac:dyDescent="0.35">
      <c r="A111" s="9">
        <v>2</v>
      </c>
      <c r="B111" s="8">
        <v>2012</v>
      </c>
      <c r="C111" s="11">
        <v>52923579</v>
      </c>
      <c r="D111" s="11">
        <v>46405102</v>
      </c>
      <c r="E111" s="11">
        <v>6518477</v>
      </c>
      <c r="F111" s="9" t="str">
        <f t="shared" si="3"/>
        <v>Fall</v>
      </c>
      <c r="G111">
        <f>Table4[[#This Row],[High_Traffic]]</f>
        <v>0</v>
      </c>
      <c r="H111" s="15">
        <f>IF(C111 &gt;= Table4[[#Totals],[Pax]], 1, 0)</f>
        <v>0</v>
      </c>
      <c r="I111" s="16">
        <f t="shared" si="4"/>
        <v>1</v>
      </c>
      <c r="J111" s="17"/>
      <c r="K111" s="17">
        <f>IF(C111 &gt;= Table5[[#Totals],[Pax]], 1, 0)</f>
        <v>0</v>
      </c>
      <c r="L111" s="17">
        <f>IF(C111 &gt;= Table5[[#Totals],[Pax]], 1, 0)</f>
        <v>0</v>
      </c>
      <c r="M111" s="17">
        <f t="shared" si="5"/>
        <v>1</v>
      </c>
    </row>
    <row r="112" spans="1:13" x14ac:dyDescent="0.35">
      <c r="A112" s="7">
        <v>3</v>
      </c>
      <c r="B112" s="6">
        <v>2012</v>
      </c>
      <c r="C112" s="10">
        <v>64260064</v>
      </c>
      <c r="D112" s="10">
        <v>56200104</v>
      </c>
      <c r="E112" s="10">
        <v>8059960</v>
      </c>
      <c r="F112" s="7" t="str">
        <f t="shared" si="3"/>
        <v>Fall</v>
      </c>
      <c r="G112">
        <f>Table4[[#This Row],[High_Traffic]]</f>
        <v>1</v>
      </c>
      <c r="H112" s="12">
        <f>IF(C112 &gt;= Table4[[#Totals],[Pax]], 1, 0)</f>
        <v>1</v>
      </c>
      <c r="I112" s="13">
        <f t="shared" si="4"/>
        <v>1</v>
      </c>
      <c r="J112" s="14"/>
      <c r="K112" s="14">
        <f>IF(C112 &gt;= Table5[[#Totals],[Pax]], 1, 0)</f>
        <v>1</v>
      </c>
      <c r="L112" s="14">
        <f>IF(C112 &gt;= Table5[[#Totals],[Pax]], 1, 0)</f>
        <v>1</v>
      </c>
      <c r="M112" s="14">
        <f t="shared" si="5"/>
        <v>1</v>
      </c>
    </row>
    <row r="113" spans="1:13" x14ac:dyDescent="0.35">
      <c r="A113" s="9">
        <v>4</v>
      </c>
      <c r="B113" s="8">
        <v>2012</v>
      </c>
      <c r="C113" s="11">
        <v>61299901</v>
      </c>
      <c r="D113" s="11">
        <v>53691455</v>
      </c>
      <c r="E113" s="11">
        <v>7608446</v>
      </c>
      <c r="F113" s="9" t="str">
        <f t="shared" si="3"/>
        <v>Fall</v>
      </c>
      <c r="G113">
        <f>Table4[[#This Row],[High_Traffic]]</f>
        <v>0</v>
      </c>
      <c r="H113" s="15">
        <f>IF(C113 &gt;= Table4[[#Totals],[Pax]], 1, 0)</f>
        <v>0</v>
      </c>
      <c r="I113" s="16">
        <f t="shared" si="4"/>
        <v>1</v>
      </c>
      <c r="J113" s="17"/>
      <c r="K113" s="17">
        <f>IF(C113 &gt;= Table5[[#Totals],[Pax]], 1, 0)</f>
        <v>0</v>
      </c>
      <c r="L113" s="17">
        <f>IF(C113 &gt;= Table5[[#Totals],[Pax]], 1, 0)</f>
        <v>0</v>
      </c>
      <c r="M113" s="17">
        <f t="shared" si="5"/>
        <v>1</v>
      </c>
    </row>
    <row r="114" spans="1:13" x14ac:dyDescent="0.35">
      <c r="A114" s="7">
        <v>5</v>
      </c>
      <c r="B114" s="6">
        <v>2012</v>
      </c>
      <c r="C114" s="10">
        <v>63478254</v>
      </c>
      <c r="D114" s="10">
        <v>55749349</v>
      </c>
      <c r="E114" s="10">
        <v>7728905</v>
      </c>
      <c r="F114" s="7" t="str">
        <f t="shared" si="3"/>
        <v>Fall</v>
      </c>
      <c r="G114">
        <f>Table4[[#This Row],[High_Traffic]]</f>
        <v>1</v>
      </c>
      <c r="H114" s="12">
        <f>IF(C114 &gt;= Table4[[#Totals],[Pax]], 1, 0)</f>
        <v>1</v>
      </c>
      <c r="I114" s="13">
        <f t="shared" si="4"/>
        <v>1</v>
      </c>
      <c r="J114" s="14"/>
      <c r="K114" s="14">
        <f>IF(C114 &gt;= Table5[[#Totals],[Pax]], 1, 0)</f>
        <v>1</v>
      </c>
      <c r="L114" s="14">
        <f>IF(C114 &gt;= Table5[[#Totals],[Pax]], 1, 0)</f>
        <v>1</v>
      </c>
      <c r="M114" s="14">
        <f t="shared" si="5"/>
        <v>1</v>
      </c>
    </row>
    <row r="115" spans="1:13" x14ac:dyDescent="0.35">
      <c r="A115" s="9">
        <v>6</v>
      </c>
      <c r="B115" s="8">
        <v>2012</v>
      </c>
      <c r="C115" s="11">
        <v>66412465</v>
      </c>
      <c r="D115" s="11">
        <v>57903293</v>
      </c>
      <c r="E115" s="11">
        <v>8509172</v>
      </c>
      <c r="F115" s="9" t="str">
        <f t="shared" si="3"/>
        <v>Fall</v>
      </c>
      <c r="G115">
        <f>Table4[[#This Row],[High_Traffic]]</f>
        <v>1</v>
      </c>
      <c r="H115" s="15">
        <f>IF(C115 &gt;= Table4[[#Totals],[Pax]], 1, 0)</f>
        <v>1</v>
      </c>
      <c r="I115" s="16">
        <f t="shared" si="4"/>
        <v>1</v>
      </c>
      <c r="J115" s="17"/>
      <c r="K115" s="17">
        <f>IF(C115 &gt;= Table5[[#Totals],[Pax]], 1, 0)</f>
        <v>1</v>
      </c>
      <c r="L115" s="17">
        <f>IF(C115 &gt;= Table5[[#Totals],[Pax]], 1, 0)</f>
        <v>1</v>
      </c>
      <c r="M115" s="17">
        <f t="shared" si="5"/>
        <v>1</v>
      </c>
    </row>
    <row r="116" spans="1:13" x14ac:dyDescent="0.35">
      <c r="A116" s="7">
        <v>7</v>
      </c>
      <c r="B116" s="6">
        <v>2012</v>
      </c>
      <c r="C116" s="10">
        <v>68987213</v>
      </c>
      <c r="D116" s="10">
        <v>59688267</v>
      </c>
      <c r="E116" s="10">
        <v>9298946</v>
      </c>
      <c r="F116" s="7" t="str">
        <f t="shared" si="3"/>
        <v>Fall</v>
      </c>
      <c r="G116">
        <f>Table4[[#This Row],[High_Traffic]]</f>
        <v>1</v>
      </c>
      <c r="H116" s="12">
        <f>IF(C116 &gt;= Table4[[#Totals],[Pax]], 1, 0)</f>
        <v>1</v>
      </c>
      <c r="I116" s="13">
        <f t="shared" si="4"/>
        <v>1</v>
      </c>
      <c r="J116" s="14"/>
      <c r="K116" s="14">
        <f>IF(C116 &gt;= Table5[[#Totals],[Pax]], 1, 0)</f>
        <v>1</v>
      </c>
      <c r="L116" s="14">
        <f>IF(C116 &gt;= Table5[[#Totals],[Pax]], 1, 0)</f>
        <v>1</v>
      </c>
      <c r="M116" s="14">
        <f t="shared" si="5"/>
        <v>1</v>
      </c>
    </row>
    <row r="117" spans="1:13" x14ac:dyDescent="0.35">
      <c r="A117" s="9">
        <v>8</v>
      </c>
      <c r="B117" s="8">
        <v>2012</v>
      </c>
      <c r="C117" s="11">
        <v>67538658</v>
      </c>
      <c r="D117" s="11">
        <v>58646304</v>
      </c>
      <c r="E117" s="11">
        <v>8892354</v>
      </c>
      <c r="F117" s="9" t="str">
        <f t="shared" si="3"/>
        <v>Fall</v>
      </c>
      <c r="G117">
        <f>Table4[[#This Row],[High_Traffic]]</f>
        <v>1</v>
      </c>
      <c r="H117" s="15">
        <f>IF(C117 &gt;= Table4[[#Totals],[Pax]], 1, 0)</f>
        <v>1</v>
      </c>
      <c r="I117" s="16">
        <f t="shared" si="4"/>
        <v>1</v>
      </c>
      <c r="J117" s="17"/>
      <c r="K117" s="17">
        <f>IF(C117 &gt;= Table5[[#Totals],[Pax]], 1, 0)</f>
        <v>1</v>
      </c>
      <c r="L117" s="17">
        <f>IF(C117 &gt;= Table5[[#Totals],[Pax]], 1, 0)</f>
        <v>1</v>
      </c>
      <c r="M117" s="17">
        <f t="shared" si="5"/>
        <v>1</v>
      </c>
    </row>
    <row r="118" spans="1:13" x14ac:dyDescent="0.35">
      <c r="A118" s="7">
        <v>9</v>
      </c>
      <c r="B118" s="6">
        <v>2012</v>
      </c>
      <c r="C118" s="10">
        <v>57232918</v>
      </c>
      <c r="D118" s="10">
        <v>50134504</v>
      </c>
      <c r="E118" s="10">
        <v>7098414</v>
      </c>
      <c r="F118" s="7" t="str">
        <f t="shared" si="3"/>
        <v>Fall</v>
      </c>
      <c r="G118">
        <f>Table4[[#This Row],[High_Traffic]]</f>
        <v>0</v>
      </c>
      <c r="H118" s="12">
        <f>IF(C118 &gt;= Table4[[#Totals],[Pax]], 1, 0)</f>
        <v>0</v>
      </c>
      <c r="I118" s="13">
        <f t="shared" si="4"/>
        <v>1</v>
      </c>
      <c r="J118" s="14"/>
      <c r="K118" s="14">
        <f>IF(C118 &gt;= Table5[[#Totals],[Pax]], 1, 0)</f>
        <v>0</v>
      </c>
      <c r="L118" s="14">
        <f>IF(C118 &gt;= Table5[[#Totals],[Pax]], 1, 0)</f>
        <v>0</v>
      </c>
      <c r="M118" s="14">
        <f t="shared" si="5"/>
        <v>1</v>
      </c>
    </row>
    <row r="119" spans="1:13" x14ac:dyDescent="0.35">
      <c r="A119" s="9">
        <v>10</v>
      </c>
      <c r="B119" s="8">
        <v>2012</v>
      </c>
      <c r="C119" s="11">
        <v>60732331</v>
      </c>
      <c r="D119" s="11">
        <v>53779646</v>
      </c>
      <c r="E119" s="11">
        <v>6952685</v>
      </c>
      <c r="F119" s="9" t="str">
        <f t="shared" si="3"/>
        <v>Fall</v>
      </c>
      <c r="G119">
        <f>Table4[[#This Row],[High_Traffic]]</f>
        <v>0</v>
      </c>
      <c r="H119" s="15">
        <f>IF(C119 &gt;= Table4[[#Totals],[Pax]], 1, 0)</f>
        <v>0</v>
      </c>
      <c r="I119" s="16">
        <f t="shared" si="4"/>
        <v>1</v>
      </c>
      <c r="J119" s="17"/>
      <c r="K119" s="17">
        <f>IF(C119 &gt;= Table5[[#Totals],[Pax]], 1, 0)</f>
        <v>0</v>
      </c>
      <c r="L119" s="17">
        <f>IF(C119 &gt;= Table5[[#Totals],[Pax]], 1, 0)</f>
        <v>0</v>
      </c>
      <c r="M119" s="17">
        <f t="shared" si="5"/>
        <v>1</v>
      </c>
    </row>
    <row r="120" spans="1:13" x14ac:dyDescent="0.35">
      <c r="A120" s="7">
        <v>11</v>
      </c>
      <c r="B120" s="6">
        <v>2012</v>
      </c>
      <c r="C120" s="10">
        <v>58554540</v>
      </c>
      <c r="D120" s="10">
        <v>51844482</v>
      </c>
      <c r="E120" s="10">
        <v>6710058</v>
      </c>
      <c r="F120" s="7" t="str">
        <f t="shared" si="3"/>
        <v>Fall</v>
      </c>
      <c r="G120">
        <f>Table4[[#This Row],[High_Traffic]]</f>
        <v>0</v>
      </c>
      <c r="H120" s="12">
        <f>IF(C120 &gt;= Table4[[#Totals],[Pax]], 1, 0)</f>
        <v>0</v>
      </c>
      <c r="I120" s="13">
        <f t="shared" si="4"/>
        <v>1</v>
      </c>
      <c r="J120" s="14"/>
      <c r="K120" s="14">
        <f>IF(C120 &gt;= Table5[[#Totals],[Pax]], 1, 0)</f>
        <v>0</v>
      </c>
      <c r="L120" s="14">
        <f>IF(C120 &gt;= Table5[[#Totals],[Pax]], 1, 0)</f>
        <v>0</v>
      </c>
      <c r="M120" s="14">
        <f t="shared" si="5"/>
        <v>1</v>
      </c>
    </row>
    <row r="121" spans="1:13" x14ac:dyDescent="0.35">
      <c r="A121" s="9">
        <v>12</v>
      </c>
      <c r="B121" s="8">
        <v>2012</v>
      </c>
      <c r="C121" s="11">
        <v>58666383</v>
      </c>
      <c r="D121" s="11">
        <v>51165451</v>
      </c>
      <c r="E121" s="11">
        <v>7500932</v>
      </c>
      <c r="F121" s="9" t="str">
        <f t="shared" si="3"/>
        <v>Fall</v>
      </c>
      <c r="G121">
        <f>Table4[[#This Row],[High_Traffic]]</f>
        <v>0</v>
      </c>
      <c r="H121" s="15">
        <f>IF(C121 &gt;= Table4[[#Totals],[Pax]], 1, 0)</f>
        <v>0</v>
      </c>
      <c r="I121" s="16">
        <f t="shared" si="4"/>
        <v>1</v>
      </c>
      <c r="J121" s="17"/>
      <c r="K121" s="17">
        <f>IF(C121 &gt;= Table5[[#Totals],[Pax]], 1, 0)</f>
        <v>0</v>
      </c>
      <c r="L121" s="17">
        <f>IF(C121 &gt;= Table5[[#Totals],[Pax]], 1, 0)</f>
        <v>0</v>
      </c>
      <c r="M121" s="17">
        <f t="shared" si="5"/>
        <v>1</v>
      </c>
    </row>
    <row r="122" spans="1:13" x14ac:dyDescent="0.35">
      <c r="A122" s="7">
        <v>1</v>
      </c>
      <c r="B122" s="6">
        <v>2013</v>
      </c>
      <c r="C122" s="10">
        <v>55148279</v>
      </c>
      <c r="D122" s="10">
        <v>47816859</v>
      </c>
      <c r="E122" s="10">
        <v>7331420</v>
      </c>
      <c r="F122" s="7" t="str">
        <f t="shared" si="3"/>
        <v>Fall</v>
      </c>
      <c r="G122">
        <f>Table4[[#This Row],[High_Traffic]]</f>
        <v>0</v>
      </c>
      <c r="H122" s="12">
        <f>IF(C122 &gt;= Table4[[#Totals],[Pax]], 1, 0)</f>
        <v>0</v>
      </c>
      <c r="I122" s="13">
        <f t="shared" si="4"/>
        <v>1</v>
      </c>
      <c r="J122" s="14"/>
      <c r="K122" s="14">
        <f>IF(C122 &gt;= Table5[[#Totals],[Pax]], 1, 0)</f>
        <v>0</v>
      </c>
      <c r="L122" s="14">
        <f>IF(C122 &gt;= Table5[[#Totals],[Pax]], 1, 0)</f>
        <v>0</v>
      </c>
      <c r="M122" s="14">
        <f t="shared" si="5"/>
        <v>1</v>
      </c>
    </row>
    <row r="123" spans="1:13" x14ac:dyDescent="0.35">
      <c r="A123" s="9">
        <v>2</v>
      </c>
      <c r="B123" s="8">
        <v>2013</v>
      </c>
      <c r="C123" s="11">
        <v>52304270</v>
      </c>
      <c r="D123" s="11">
        <v>45740158</v>
      </c>
      <c r="E123" s="11">
        <v>6564112</v>
      </c>
      <c r="F123" s="9" t="str">
        <f t="shared" si="3"/>
        <v>Fall</v>
      </c>
      <c r="G123">
        <f>Table4[[#This Row],[High_Traffic]]</f>
        <v>0</v>
      </c>
      <c r="H123" s="15">
        <f>IF(C123 &gt;= Table4[[#Totals],[Pax]], 1, 0)</f>
        <v>0</v>
      </c>
      <c r="I123" s="16">
        <f t="shared" si="4"/>
        <v>1</v>
      </c>
      <c r="J123" s="17"/>
      <c r="K123" s="17">
        <f>IF(C123 &gt;= Table5[[#Totals],[Pax]], 1, 0)</f>
        <v>0</v>
      </c>
      <c r="L123" s="17">
        <f>IF(C123 &gt;= Table5[[#Totals],[Pax]], 1, 0)</f>
        <v>0</v>
      </c>
      <c r="M123" s="17">
        <f t="shared" si="5"/>
        <v>1</v>
      </c>
    </row>
    <row r="124" spans="1:13" x14ac:dyDescent="0.35">
      <c r="A124" s="7">
        <v>3</v>
      </c>
      <c r="B124" s="6">
        <v>2013</v>
      </c>
      <c r="C124" s="10">
        <v>64891924</v>
      </c>
      <c r="D124" s="10">
        <v>56564538</v>
      </c>
      <c r="E124" s="10">
        <v>8327386</v>
      </c>
      <c r="F124" s="7" t="str">
        <f t="shared" si="3"/>
        <v>Fall</v>
      </c>
      <c r="G124">
        <f>Table4[[#This Row],[High_Traffic]]</f>
        <v>1</v>
      </c>
      <c r="H124" s="12">
        <f>IF(C124 &gt;= Table4[[#Totals],[Pax]], 1, 0)</f>
        <v>1</v>
      </c>
      <c r="I124" s="13">
        <f t="shared" si="4"/>
        <v>1</v>
      </c>
      <c r="J124" s="14"/>
      <c r="K124" s="14">
        <f>IF(C124 &gt;= Table5[[#Totals],[Pax]], 1, 0)</f>
        <v>1</v>
      </c>
      <c r="L124" s="14">
        <f>IF(C124 &gt;= Table5[[#Totals],[Pax]], 1, 0)</f>
        <v>1</v>
      </c>
      <c r="M124" s="14">
        <f t="shared" si="5"/>
        <v>1</v>
      </c>
    </row>
    <row r="125" spans="1:13" x14ac:dyDescent="0.35">
      <c r="A125" s="9">
        <v>4</v>
      </c>
      <c r="B125" s="8">
        <v>2013</v>
      </c>
      <c r="C125" s="11">
        <v>60790905</v>
      </c>
      <c r="D125" s="11">
        <v>53228575</v>
      </c>
      <c r="E125" s="11">
        <v>7562330</v>
      </c>
      <c r="F125" s="9" t="str">
        <f t="shared" si="3"/>
        <v>Fall</v>
      </c>
      <c r="G125">
        <f>Table4[[#This Row],[High_Traffic]]</f>
        <v>0</v>
      </c>
      <c r="H125" s="15">
        <f>IF(C125 &gt;= Table4[[#Totals],[Pax]], 1, 0)</f>
        <v>0</v>
      </c>
      <c r="I125" s="16">
        <f t="shared" si="4"/>
        <v>1</v>
      </c>
      <c r="J125" s="17"/>
      <c r="K125" s="17">
        <f>IF(C125 &gt;= Table5[[#Totals],[Pax]], 1, 0)</f>
        <v>0</v>
      </c>
      <c r="L125" s="17">
        <f>IF(C125 &gt;= Table5[[#Totals],[Pax]], 1, 0)</f>
        <v>0</v>
      </c>
      <c r="M125" s="17">
        <f t="shared" si="5"/>
        <v>1</v>
      </c>
    </row>
    <row r="126" spans="1:13" x14ac:dyDescent="0.35">
      <c r="A126" s="7">
        <v>5</v>
      </c>
      <c r="B126" s="6">
        <v>2013</v>
      </c>
      <c r="C126" s="10">
        <v>64586349</v>
      </c>
      <c r="D126" s="10">
        <v>56562929</v>
      </c>
      <c r="E126" s="10">
        <v>8023420</v>
      </c>
      <c r="F126" s="7" t="str">
        <f t="shared" si="3"/>
        <v>Fall</v>
      </c>
      <c r="G126">
        <f>Table4[[#This Row],[High_Traffic]]</f>
        <v>1</v>
      </c>
      <c r="H126" s="12">
        <f>IF(C126 &gt;= Table4[[#Totals],[Pax]], 1, 0)</f>
        <v>1</v>
      </c>
      <c r="I126" s="13">
        <f t="shared" si="4"/>
        <v>1</v>
      </c>
      <c r="J126" s="14"/>
      <c r="K126" s="14">
        <f>IF(C126 &gt;= Table5[[#Totals],[Pax]], 1, 0)</f>
        <v>1</v>
      </c>
      <c r="L126" s="14">
        <f>IF(C126 &gt;= Table5[[#Totals],[Pax]], 1, 0)</f>
        <v>1</v>
      </c>
      <c r="M126" s="14">
        <f t="shared" si="5"/>
        <v>1</v>
      </c>
    </row>
    <row r="127" spans="1:13" x14ac:dyDescent="0.35">
      <c r="A127" s="9">
        <v>6</v>
      </c>
      <c r="B127" s="8">
        <v>2013</v>
      </c>
      <c r="C127" s="11">
        <v>66874432</v>
      </c>
      <c r="D127" s="11">
        <v>57990789</v>
      </c>
      <c r="E127" s="11">
        <v>8883643</v>
      </c>
      <c r="F127" s="9" t="str">
        <f t="shared" si="3"/>
        <v>Fall</v>
      </c>
      <c r="G127">
        <f>Table4[[#This Row],[High_Traffic]]</f>
        <v>1</v>
      </c>
      <c r="H127" s="15">
        <f>IF(C127 &gt;= Table4[[#Totals],[Pax]], 1, 0)</f>
        <v>1</v>
      </c>
      <c r="I127" s="16">
        <f t="shared" si="4"/>
        <v>1</v>
      </c>
      <c r="J127" s="17"/>
      <c r="K127" s="17">
        <f>IF(C127 &gt;= Table5[[#Totals],[Pax]], 1, 0)</f>
        <v>1</v>
      </c>
      <c r="L127" s="17">
        <f>IF(C127 &gt;= Table5[[#Totals],[Pax]], 1, 0)</f>
        <v>1</v>
      </c>
      <c r="M127" s="17">
        <f t="shared" si="5"/>
        <v>1</v>
      </c>
    </row>
    <row r="128" spans="1:13" x14ac:dyDescent="0.35">
      <c r="A128" s="7">
        <v>7</v>
      </c>
      <c r="B128" s="6">
        <v>2013</v>
      </c>
      <c r="C128" s="10">
        <v>69019487</v>
      </c>
      <c r="D128" s="10">
        <v>59310478</v>
      </c>
      <c r="E128" s="10">
        <v>9709009</v>
      </c>
      <c r="F128" s="7" t="str">
        <f t="shared" si="3"/>
        <v>Fall</v>
      </c>
      <c r="G128">
        <f>Table4[[#This Row],[High_Traffic]]</f>
        <v>1</v>
      </c>
      <c r="H128" s="12">
        <f>IF(C128 &gt;= Table4[[#Totals],[Pax]], 1, 0)</f>
        <v>1</v>
      </c>
      <c r="I128" s="13">
        <f t="shared" si="4"/>
        <v>1</v>
      </c>
      <c r="J128" s="14"/>
      <c r="K128" s="14">
        <f>IF(C128 &gt;= Table5[[#Totals],[Pax]], 1, 0)</f>
        <v>1</v>
      </c>
      <c r="L128" s="14">
        <f>IF(C128 &gt;= Table5[[#Totals],[Pax]], 1, 0)</f>
        <v>1</v>
      </c>
      <c r="M128" s="14">
        <f t="shared" si="5"/>
        <v>1</v>
      </c>
    </row>
    <row r="129" spans="1:13" x14ac:dyDescent="0.35">
      <c r="A129" s="9">
        <v>8</v>
      </c>
      <c r="B129" s="8">
        <v>2013</v>
      </c>
      <c r="C129" s="11">
        <v>67518714</v>
      </c>
      <c r="D129" s="11">
        <v>58115405</v>
      </c>
      <c r="E129" s="11">
        <v>9403309</v>
      </c>
      <c r="F129" s="9" t="str">
        <f t="shared" si="3"/>
        <v>Fall</v>
      </c>
      <c r="G129">
        <f>Table4[[#This Row],[High_Traffic]]</f>
        <v>1</v>
      </c>
      <c r="H129" s="15">
        <f>IF(C129 &gt;= Table4[[#Totals],[Pax]], 1, 0)</f>
        <v>1</v>
      </c>
      <c r="I129" s="16">
        <f t="shared" si="4"/>
        <v>1</v>
      </c>
      <c r="J129" s="17"/>
      <c r="K129" s="17">
        <f>IF(C129 &gt;= Table5[[#Totals],[Pax]], 1, 0)</f>
        <v>1</v>
      </c>
      <c r="L129" s="17">
        <f>IF(C129 &gt;= Table5[[#Totals],[Pax]], 1, 0)</f>
        <v>1</v>
      </c>
      <c r="M129" s="17">
        <f t="shared" si="5"/>
        <v>1</v>
      </c>
    </row>
    <row r="130" spans="1:13" x14ac:dyDescent="0.35">
      <c r="A130" s="7">
        <v>9</v>
      </c>
      <c r="B130" s="6">
        <v>2013</v>
      </c>
      <c r="C130" s="10">
        <v>58021135</v>
      </c>
      <c r="D130" s="10">
        <v>50766098</v>
      </c>
      <c r="E130" s="10">
        <v>7255037</v>
      </c>
      <c r="F130" s="7" t="str">
        <f t="shared" ref="F130:F193" si="6">IF(E130&lt;=2,"Winter",
 IF(E130&lt;=5,"Spring",
 IF(E130&lt;=8,"Summer","Fall")))</f>
        <v>Fall</v>
      </c>
      <c r="G130">
        <f>Table4[[#This Row],[High_Traffic]]</f>
        <v>0</v>
      </c>
      <c r="H130" s="12">
        <f>IF(C130 &gt;= Table4[[#Totals],[Pax]], 1, 0)</f>
        <v>0</v>
      </c>
      <c r="I130" s="13">
        <f t="shared" ref="I130:I193" si="7">IF(G130=H130,1,0)</f>
        <v>1</v>
      </c>
      <c r="J130" s="14"/>
      <c r="K130" s="14">
        <f>IF(C130 &gt;= Table5[[#Totals],[Pax]], 1, 0)</f>
        <v>0</v>
      </c>
      <c r="L130" s="14">
        <f>IF(C130 &gt;= Table5[[#Totals],[Pax]], 1, 0)</f>
        <v>0</v>
      </c>
      <c r="M130" s="14">
        <f t="shared" ref="M130:M193" si="8">IF(L130 = G130, 1, 0)</f>
        <v>1</v>
      </c>
    </row>
    <row r="131" spans="1:13" x14ac:dyDescent="0.35">
      <c r="A131" s="9">
        <v>10</v>
      </c>
      <c r="B131" s="8">
        <v>2013</v>
      </c>
      <c r="C131" s="11">
        <v>61980604</v>
      </c>
      <c r="D131" s="11">
        <v>54706177</v>
      </c>
      <c r="E131" s="11">
        <v>7274427</v>
      </c>
      <c r="F131" s="9" t="str">
        <f t="shared" si="6"/>
        <v>Fall</v>
      </c>
      <c r="G131">
        <f>Table4[[#This Row],[High_Traffic]]</f>
        <v>0</v>
      </c>
      <c r="H131" s="15">
        <f>IF(C131 &gt;= Table4[[#Totals],[Pax]], 1, 0)</f>
        <v>0</v>
      </c>
      <c r="I131" s="16">
        <f t="shared" si="7"/>
        <v>1</v>
      </c>
      <c r="J131" s="17"/>
      <c r="K131" s="17">
        <f>IF(C131 &gt;= Table5[[#Totals],[Pax]], 1, 0)</f>
        <v>0</v>
      </c>
      <c r="L131" s="17">
        <f>IF(C131 &gt;= Table5[[#Totals],[Pax]], 1, 0)</f>
        <v>0</v>
      </c>
      <c r="M131" s="17">
        <f t="shared" si="8"/>
        <v>1</v>
      </c>
    </row>
    <row r="132" spans="1:13" x14ac:dyDescent="0.35">
      <c r="A132" s="7">
        <v>11</v>
      </c>
      <c r="B132" s="6">
        <v>2013</v>
      </c>
      <c r="C132" s="10">
        <v>57423181</v>
      </c>
      <c r="D132" s="10">
        <v>50542332</v>
      </c>
      <c r="E132" s="10">
        <v>6880849</v>
      </c>
      <c r="F132" s="7" t="str">
        <f t="shared" si="6"/>
        <v>Fall</v>
      </c>
      <c r="G132">
        <f>Table4[[#This Row],[High_Traffic]]</f>
        <v>0</v>
      </c>
      <c r="H132" s="12">
        <f>IF(C132 &gt;= Table4[[#Totals],[Pax]], 1, 0)</f>
        <v>0</v>
      </c>
      <c r="I132" s="13">
        <f t="shared" si="7"/>
        <v>1</v>
      </c>
      <c r="J132" s="14"/>
      <c r="K132" s="14">
        <f>IF(C132 &gt;= Table5[[#Totals],[Pax]], 1, 0)</f>
        <v>0</v>
      </c>
      <c r="L132" s="14">
        <f>IF(C132 &gt;= Table5[[#Totals],[Pax]], 1, 0)</f>
        <v>0</v>
      </c>
      <c r="M132" s="14">
        <f t="shared" si="8"/>
        <v>1</v>
      </c>
    </row>
    <row r="133" spans="1:13" x14ac:dyDescent="0.35">
      <c r="A133" s="9">
        <v>12</v>
      </c>
      <c r="B133" s="8">
        <v>2013</v>
      </c>
      <c r="C133" s="11">
        <v>62300107</v>
      </c>
      <c r="D133" s="11">
        <v>54332936</v>
      </c>
      <c r="E133" s="11">
        <v>7967171</v>
      </c>
      <c r="F133" s="9" t="str">
        <f t="shared" si="6"/>
        <v>Fall</v>
      </c>
      <c r="G133">
        <f>Table4[[#This Row],[High_Traffic]]</f>
        <v>0</v>
      </c>
      <c r="H133" s="15">
        <f>IF(C133 &gt;= Table4[[#Totals],[Pax]], 1, 0)</f>
        <v>0</v>
      </c>
      <c r="I133" s="16">
        <f t="shared" si="7"/>
        <v>1</v>
      </c>
      <c r="J133" s="17"/>
      <c r="K133" s="17">
        <f>IF(C133 &gt;= Table5[[#Totals],[Pax]], 1, 0)</f>
        <v>0</v>
      </c>
      <c r="L133" s="17">
        <f>IF(C133 &gt;= Table5[[#Totals],[Pax]], 1, 0)</f>
        <v>0</v>
      </c>
      <c r="M133" s="17">
        <f t="shared" si="8"/>
        <v>1</v>
      </c>
    </row>
    <row r="134" spans="1:13" x14ac:dyDescent="0.35">
      <c r="A134" s="7">
        <v>1</v>
      </c>
      <c r="B134" s="6">
        <v>2014</v>
      </c>
      <c r="C134" s="10">
        <v>55628947</v>
      </c>
      <c r="D134" s="10">
        <v>47957371</v>
      </c>
      <c r="E134" s="10">
        <v>7671576</v>
      </c>
      <c r="F134" s="7" t="str">
        <f t="shared" si="6"/>
        <v>Fall</v>
      </c>
      <c r="G134">
        <f>Table4[[#This Row],[High_Traffic]]</f>
        <v>0</v>
      </c>
      <c r="H134" s="12">
        <f>IF(C134 &gt;= Table4[[#Totals],[Pax]], 1, 0)</f>
        <v>0</v>
      </c>
      <c r="I134" s="13">
        <f t="shared" si="7"/>
        <v>1</v>
      </c>
      <c r="J134" s="14"/>
      <c r="K134" s="14">
        <f>IF(C134 &gt;= Table5[[#Totals],[Pax]], 1, 0)</f>
        <v>0</v>
      </c>
      <c r="L134" s="14">
        <f>IF(C134 &gt;= Table5[[#Totals],[Pax]], 1, 0)</f>
        <v>0</v>
      </c>
      <c r="M134" s="14">
        <f t="shared" si="8"/>
        <v>1</v>
      </c>
    </row>
    <row r="135" spans="1:13" x14ac:dyDescent="0.35">
      <c r="A135" s="9">
        <v>2</v>
      </c>
      <c r="B135" s="8">
        <v>2014</v>
      </c>
      <c r="C135" s="11">
        <v>52283230</v>
      </c>
      <c r="D135" s="11">
        <v>45513184</v>
      </c>
      <c r="E135" s="11">
        <v>6770046</v>
      </c>
      <c r="F135" s="9" t="str">
        <f t="shared" si="6"/>
        <v>Fall</v>
      </c>
      <c r="G135">
        <f>Table4[[#This Row],[High_Traffic]]</f>
        <v>0</v>
      </c>
      <c r="H135" s="15">
        <f>IF(C135 &gt;= Table4[[#Totals],[Pax]], 1, 0)</f>
        <v>0</v>
      </c>
      <c r="I135" s="16">
        <f t="shared" si="7"/>
        <v>1</v>
      </c>
      <c r="J135" s="17"/>
      <c r="K135" s="17">
        <f>IF(C135 &gt;= Table5[[#Totals],[Pax]], 1, 0)</f>
        <v>0</v>
      </c>
      <c r="L135" s="17">
        <f>IF(C135 &gt;= Table5[[#Totals],[Pax]], 1, 0)</f>
        <v>0</v>
      </c>
      <c r="M135" s="17">
        <f t="shared" si="8"/>
        <v>1</v>
      </c>
    </row>
    <row r="136" spans="1:13" x14ac:dyDescent="0.35">
      <c r="A136" s="7">
        <v>3</v>
      </c>
      <c r="B136" s="6">
        <v>2014</v>
      </c>
      <c r="C136" s="10">
        <v>66265071</v>
      </c>
      <c r="D136" s="10">
        <v>57761938</v>
      </c>
      <c r="E136" s="10">
        <v>8503133</v>
      </c>
      <c r="F136" s="7" t="str">
        <f t="shared" si="6"/>
        <v>Fall</v>
      </c>
      <c r="G136">
        <f>Table4[[#This Row],[High_Traffic]]</f>
        <v>1</v>
      </c>
      <c r="H136" s="12">
        <f>IF(C136 &gt;= Table4[[#Totals],[Pax]], 1, 0)</f>
        <v>1</v>
      </c>
      <c r="I136" s="13">
        <f t="shared" si="7"/>
        <v>1</v>
      </c>
      <c r="J136" s="14"/>
      <c r="K136" s="14">
        <f>IF(C136 &gt;= Table5[[#Totals],[Pax]], 1, 0)</f>
        <v>1</v>
      </c>
      <c r="L136" s="14">
        <f>IF(C136 &gt;= Table5[[#Totals],[Pax]], 1, 0)</f>
        <v>1</v>
      </c>
      <c r="M136" s="14">
        <f t="shared" si="8"/>
        <v>1</v>
      </c>
    </row>
    <row r="137" spans="1:13" x14ac:dyDescent="0.35">
      <c r="A137" s="9">
        <v>4</v>
      </c>
      <c r="B137" s="8">
        <v>2014</v>
      </c>
      <c r="C137" s="11">
        <v>63341997</v>
      </c>
      <c r="D137" s="11">
        <v>55247482</v>
      </c>
      <c r="E137" s="11">
        <v>8094515</v>
      </c>
      <c r="F137" s="9" t="str">
        <f t="shared" si="6"/>
        <v>Fall</v>
      </c>
      <c r="G137">
        <f>Table4[[#This Row],[High_Traffic]]</f>
        <v>1</v>
      </c>
      <c r="H137" s="15">
        <f>IF(C137 &gt;= Table4[[#Totals],[Pax]], 1, 0)</f>
        <v>1</v>
      </c>
      <c r="I137" s="16">
        <f t="shared" si="7"/>
        <v>1</v>
      </c>
      <c r="J137" s="17"/>
      <c r="K137" s="17">
        <f>IF(C137 &gt;= Table5[[#Totals],[Pax]], 1, 0)</f>
        <v>1</v>
      </c>
      <c r="L137" s="17">
        <f>IF(C137 &gt;= Table5[[#Totals],[Pax]], 1, 0)</f>
        <v>1</v>
      </c>
      <c r="M137" s="17">
        <f t="shared" si="8"/>
        <v>1</v>
      </c>
    </row>
    <row r="138" spans="1:13" x14ac:dyDescent="0.35">
      <c r="A138" s="7">
        <v>5</v>
      </c>
      <c r="B138" s="6">
        <v>2014</v>
      </c>
      <c r="C138" s="10">
        <v>66368015</v>
      </c>
      <c r="D138" s="10">
        <v>57888637</v>
      </c>
      <c r="E138" s="10">
        <v>8479378</v>
      </c>
      <c r="F138" s="7" t="str">
        <f t="shared" si="6"/>
        <v>Fall</v>
      </c>
      <c r="G138">
        <f>Table4[[#This Row],[High_Traffic]]</f>
        <v>1</v>
      </c>
      <c r="H138" s="12">
        <f>IF(C138 &gt;= Table4[[#Totals],[Pax]], 1, 0)</f>
        <v>1</v>
      </c>
      <c r="I138" s="13">
        <f t="shared" si="7"/>
        <v>1</v>
      </c>
      <c r="J138" s="14"/>
      <c r="K138" s="14">
        <f>IF(C138 &gt;= Table5[[#Totals],[Pax]], 1, 0)</f>
        <v>1</v>
      </c>
      <c r="L138" s="14">
        <f>IF(C138 &gt;= Table5[[#Totals],[Pax]], 1, 0)</f>
        <v>1</v>
      </c>
      <c r="M138" s="14">
        <f t="shared" si="8"/>
        <v>1</v>
      </c>
    </row>
    <row r="139" spans="1:13" x14ac:dyDescent="0.35">
      <c r="A139" s="9">
        <v>6</v>
      </c>
      <c r="B139" s="8">
        <v>2014</v>
      </c>
      <c r="C139" s="11">
        <v>68458782</v>
      </c>
      <c r="D139" s="11">
        <v>59261855</v>
      </c>
      <c r="E139" s="11">
        <v>9196927</v>
      </c>
      <c r="F139" s="9" t="str">
        <f t="shared" si="6"/>
        <v>Fall</v>
      </c>
      <c r="G139">
        <f>Table4[[#This Row],[High_Traffic]]</f>
        <v>1</v>
      </c>
      <c r="H139" s="15">
        <f>IF(C139 &gt;= Table4[[#Totals],[Pax]], 1, 0)</f>
        <v>1</v>
      </c>
      <c r="I139" s="16">
        <f t="shared" si="7"/>
        <v>1</v>
      </c>
      <c r="J139" s="17"/>
      <c r="K139" s="17">
        <f>IF(C139 &gt;= Table5[[#Totals],[Pax]], 1, 0)</f>
        <v>1</v>
      </c>
      <c r="L139" s="17">
        <f>IF(C139 &gt;= Table5[[#Totals],[Pax]], 1, 0)</f>
        <v>1</v>
      </c>
      <c r="M139" s="17">
        <f t="shared" si="8"/>
        <v>1</v>
      </c>
    </row>
    <row r="140" spans="1:13" x14ac:dyDescent="0.35">
      <c r="A140" s="7">
        <v>7</v>
      </c>
      <c r="B140" s="6">
        <v>2014</v>
      </c>
      <c r="C140" s="10">
        <v>71746135</v>
      </c>
      <c r="D140" s="10">
        <v>61757222</v>
      </c>
      <c r="E140" s="10">
        <v>9988913</v>
      </c>
      <c r="F140" s="7" t="str">
        <f t="shared" si="6"/>
        <v>Fall</v>
      </c>
      <c r="G140">
        <f>Table4[[#This Row],[High_Traffic]]</f>
        <v>1</v>
      </c>
      <c r="H140" s="12">
        <f>IF(C140 &gt;= Table4[[#Totals],[Pax]], 1, 0)</f>
        <v>1</v>
      </c>
      <c r="I140" s="13">
        <f t="shared" si="7"/>
        <v>1</v>
      </c>
      <c r="J140" s="14"/>
      <c r="K140" s="14">
        <f>IF(C140 &gt;= Table5[[#Totals],[Pax]], 1, 0)</f>
        <v>1</v>
      </c>
      <c r="L140" s="14">
        <f>IF(C140 &gt;= Table5[[#Totals],[Pax]], 1, 0)</f>
        <v>1</v>
      </c>
      <c r="M140" s="14">
        <f t="shared" si="8"/>
        <v>1</v>
      </c>
    </row>
    <row r="141" spans="1:13" x14ac:dyDescent="0.35">
      <c r="A141" s="9">
        <v>8</v>
      </c>
      <c r="B141" s="8">
        <v>2014</v>
      </c>
      <c r="C141" s="11">
        <v>69388131</v>
      </c>
      <c r="D141" s="11">
        <v>59758814</v>
      </c>
      <c r="E141" s="11">
        <v>9629317</v>
      </c>
      <c r="F141" s="9" t="str">
        <f t="shared" si="6"/>
        <v>Fall</v>
      </c>
      <c r="G141">
        <f>Table4[[#This Row],[High_Traffic]]</f>
        <v>1</v>
      </c>
      <c r="H141" s="15">
        <f>IF(C141 &gt;= Table4[[#Totals],[Pax]], 1, 0)</f>
        <v>1</v>
      </c>
      <c r="I141" s="16">
        <f t="shared" si="7"/>
        <v>1</v>
      </c>
      <c r="J141" s="17"/>
      <c r="K141" s="17">
        <f>IF(C141 &gt;= Table5[[#Totals],[Pax]], 1, 0)</f>
        <v>1</v>
      </c>
      <c r="L141" s="17">
        <f>IF(C141 &gt;= Table5[[#Totals],[Pax]], 1, 0)</f>
        <v>1</v>
      </c>
      <c r="M141" s="17">
        <f t="shared" si="8"/>
        <v>1</v>
      </c>
    </row>
    <row r="142" spans="1:13" x14ac:dyDescent="0.35">
      <c r="A142" s="7">
        <v>9</v>
      </c>
      <c r="B142" s="6">
        <v>2014</v>
      </c>
      <c r="C142" s="10">
        <v>59872265</v>
      </c>
      <c r="D142" s="10">
        <v>52529329</v>
      </c>
      <c r="E142" s="10">
        <v>7342936</v>
      </c>
      <c r="F142" s="7" t="str">
        <f t="shared" si="6"/>
        <v>Fall</v>
      </c>
      <c r="G142">
        <f>Table4[[#This Row],[High_Traffic]]</f>
        <v>0</v>
      </c>
      <c r="H142" s="12">
        <f>IF(C142 &gt;= Table4[[#Totals],[Pax]], 1, 0)</f>
        <v>0</v>
      </c>
      <c r="I142" s="13">
        <f t="shared" si="7"/>
        <v>1</v>
      </c>
      <c r="J142" s="14"/>
      <c r="K142" s="14">
        <f>IF(C142 &gt;= Table5[[#Totals],[Pax]], 1, 0)</f>
        <v>0</v>
      </c>
      <c r="L142" s="14">
        <f>IF(C142 &gt;= Table5[[#Totals],[Pax]], 1, 0)</f>
        <v>0</v>
      </c>
      <c r="M142" s="14">
        <f t="shared" si="8"/>
        <v>1</v>
      </c>
    </row>
    <row r="143" spans="1:13" x14ac:dyDescent="0.35">
      <c r="A143" s="9">
        <v>10</v>
      </c>
      <c r="B143" s="8">
        <v>2014</v>
      </c>
      <c r="C143" s="11">
        <v>64371103</v>
      </c>
      <c r="D143" s="11">
        <v>57084257</v>
      </c>
      <c r="E143" s="11">
        <v>7286846</v>
      </c>
      <c r="F143" s="9" t="str">
        <f t="shared" si="6"/>
        <v>Fall</v>
      </c>
      <c r="G143">
        <f>Table4[[#This Row],[High_Traffic]]</f>
        <v>1</v>
      </c>
      <c r="H143" s="15">
        <f>IF(C143 &gt;= Table4[[#Totals],[Pax]], 1, 0)</f>
        <v>1</v>
      </c>
      <c r="I143" s="16">
        <f t="shared" si="7"/>
        <v>1</v>
      </c>
      <c r="J143" s="17"/>
      <c r="K143" s="17">
        <f>IF(C143 &gt;= Table5[[#Totals],[Pax]], 1, 0)</f>
        <v>1</v>
      </c>
      <c r="L143" s="17">
        <f>IF(C143 &gt;= Table5[[#Totals],[Pax]], 1, 0)</f>
        <v>1</v>
      </c>
      <c r="M143" s="17">
        <f t="shared" si="8"/>
        <v>1</v>
      </c>
    </row>
    <row r="144" spans="1:13" x14ac:dyDescent="0.35">
      <c r="A144" s="7">
        <v>11</v>
      </c>
      <c r="B144" s="6">
        <v>2014</v>
      </c>
      <c r="C144" s="10">
        <v>59627577</v>
      </c>
      <c r="D144" s="10">
        <v>52577733</v>
      </c>
      <c r="E144" s="10">
        <v>7049844</v>
      </c>
      <c r="F144" s="7" t="str">
        <f t="shared" si="6"/>
        <v>Fall</v>
      </c>
      <c r="G144">
        <f>Table4[[#This Row],[High_Traffic]]</f>
        <v>0</v>
      </c>
      <c r="H144" s="12">
        <f>IF(C144 &gt;= Table4[[#Totals],[Pax]], 1, 0)</f>
        <v>0</v>
      </c>
      <c r="I144" s="13">
        <f t="shared" si="7"/>
        <v>1</v>
      </c>
      <c r="J144" s="14"/>
      <c r="K144" s="14">
        <f>IF(C144 &gt;= Table5[[#Totals],[Pax]], 1, 0)</f>
        <v>0</v>
      </c>
      <c r="L144" s="14">
        <f>IF(C144 &gt;= Table5[[#Totals],[Pax]], 1, 0)</f>
        <v>0</v>
      </c>
      <c r="M144" s="14">
        <f t="shared" si="8"/>
        <v>1</v>
      </c>
    </row>
    <row r="145" spans="1:13" x14ac:dyDescent="0.35">
      <c r="A145" s="9">
        <v>12</v>
      </c>
      <c r="B145" s="8">
        <v>2014</v>
      </c>
      <c r="C145" s="11">
        <v>63652300</v>
      </c>
      <c r="D145" s="11">
        <v>55486727</v>
      </c>
      <c r="E145" s="11">
        <v>8165573</v>
      </c>
      <c r="F145" s="9" t="str">
        <f t="shared" si="6"/>
        <v>Fall</v>
      </c>
      <c r="G145">
        <f>Table4[[#This Row],[High_Traffic]]</f>
        <v>1</v>
      </c>
      <c r="H145" s="15">
        <f>IF(C145 &gt;= Table4[[#Totals],[Pax]], 1, 0)</f>
        <v>1</v>
      </c>
      <c r="I145" s="16">
        <f t="shared" si="7"/>
        <v>1</v>
      </c>
      <c r="J145" s="17"/>
      <c r="K145" s="17">
        <f>IF(C145 &gt;= Table5[[#Totals],[Pax]], 1, 0)</f>
        <v>1</v>
      </c>
      <c r="L145" s="17">
        <f>IF(C145 &gt;= Table5[[#Totals],[Pax]], 1, 0)</f>
        <v>1</v>
      </c>
      <c r="M145" s="17">
        <f t="shared" si="8"/>
        <v>1</v>
      </c>
    </row>
    <row r="146" spans="1:13" x14ac:dyDescent="0.35">
      <c r="A146" s="7">
        <v>1</v>
      </c>
      <c r="B146" s="6">
        <v>2015</v>
      </c>
      <c r="C146" s="10">
        <v>57664576</v>
      </c>
      <c r="D146" s="10">
        <v>49727583</v>
      </c>
      <c r="E146" s="10">
        <v>7936993</v>
      </c>
      <c r="F146" s="7" t="str">
        <f t="shared" si="6"/>
        <v>Fall</v>
      </c>
      <c r="G146">
        <f>Table4[[#This Row],[High_Traffic]]</f>
        <v>0</v>
      </c>
      <c r="H146" s="12">
        <f>IF(C146 &gt;= Table4[[#Totals],[Pax]], 1, 0)</f>
        <v>0</v>
      </c>
      <c r="I146" s="13">
        <f t="shared" si="7"/>
        <v>1</v>
      </c>
      <c r="J146" s="14"/>
      <c r="K146" s="14">
        <f>IF(C146 &gt;= Table5[[#Totals],[Pax]], 1, 0)</f>
        <v>0</v>
      </c>
      <c r="L146" s="14">
        <f>IF(C146 &gt;= Table5[[#Totals],[Pax]], 1, 0)</f>
        <v>0</v>
      </c>
      <c r="M146" s="14">
        <f t="shared" si="8"/>
        <v>1</v>
      </c>
    </row>
    <row r="147" spans="1:13" x14ac:dyDescent="0.35">
      <c r="A147" s="9">
        <v>2</v>
      </c>
      <c r="B147" s="8">
        <v>2015</v>
      </c>
      <c r="C147" s="11">
        <v>54050800</v>
      </c>
      <c r="D147" s="11">
        <v>47164538</v>
      </c>
      <c r="E147" s="11">
        <v>6886262</v>
      </c>
      <c r="F147" s="9" t="str">
        <f t="shared" si="6"/>
        <v>Fall</v>
      </c>
      <c r="G147">
        <f>Table4[[#This Row],[High_Traffic]]</f>
        <v>0</v>
      </c>
      <c r="H147" s="15">
        <f>IF(C147 &gt;= Table4[[#Totals],[Pax]], 1, 0)</f>
        <v>0</v>
      </c>
      <c r="I147" s="16">
        <f t="shared" si="7"/>
        <v>1</v>
      </c>
      <c r="J147" s="17"/>
      <c r="K147" s="17">
        <f>IF(C147 &gt;= Table5[[#Totals],[Pax]], 1, 0)</f>
        <v>0</v>
      </c>
      <c r="L147" s="17">
        <f>IF(C147 &gt;= Table5[[#Totals],[Pax]], 1, 0)</f>
        <v>0</v>
      </c>
      <c r="M147" s="17">
        <f t="shared" si="8"/>
        <v>1</v>
      </c>
    </row>
    <row r="148" spans="1:13" x14ac:dyDescent="0.35">
      <c r="A148" s="7">
        <v>3</v>
      </c>
      <c r="B148" s="6">
        <v>2015</v>
      </c>
      <c r="C148" s="10">
        <v>68081743</v>
      </c>
      <c r="D148" s="10">
        <v>59557228</v>
      </c>
      <c r="E148" s="10">
        <v>8524515</v>
      </c>
      <c r="F148" s="7" t="str">
        <f t="shared" si="6"/>
        <v>Fall</v>
      </c>
      <c r="G148">
        <f>Table4[[#This Row],[High_Traffic]]</f>
        <v>1</v>
      </c>
      <c r="H148" s="12">
        <f>IF(C148 &gt;= Table4[[#Totals],[Pax]], 1, 0)</f>
        <v>1</v>
      </c>
      <c r="I148" s="13">
        <f t="shared" si="7"/>
        <v>1</v>
      </c>
      <c r="J148" s="14"/>
      <c r="K148" s="14">
        <f>IF(C148 &gt;= Table5[[#Totals],[Pax]], 1, 0)</f>
        <v>1</v>
      </c>
      <c r="L148" s="14">
        <f>IF(C148 &gt;= Table5[[#Totals],[Pax]], 1, 0)</f>
        <v>1</v>
      </c>
      <c r="M148" s="14">
        <f t="shared" si="8"/>
        <v>1</v>
      </c>
    </row>
    <row r="149" spans="1:13" x14ac:dyDescent="0.35">
      <c r="A149" s="9">
        <v>4</v>
      </c>
      <c r="B149" s="8">
        <v>2015</v>
      </c>
      <c r="C149" s="11">
        <v>65817267</v>
      </c>
      <c r="D149" s="11">
        <v>57698044</v>
      </c>
      <c r="E149" s="11">
        <v>8119223</v>
      </c>
      <c r="F149" s="9" t="str">
        <f t="shared" si="6"/>
        <v>Fall</v>
      </c>
      <c r="G149">
        <f>Table4[[#This Row],[High_Traffic]]</f>
        <v>1</v>
      </c>
      <c r="H149" s="15">
        <f>IF(C149 &gt;= Table4[[#Totals],[Pax]], 1, 0)</f>
        <v>1</v>
      </c>
      <c r="I149" s="16">
        <f t="shared" si="7"/>
        <v>1</v>
      </c>
      <c r="J149" s="17"/>
      <c r="K149" s="17">
        <f>IF(C149 &gt;= Table5[[#Totals],[Pax]], 1, 0)</f>
        <v>1</v>
      </c>
      <c r="L149" s="17">
        <f>IF(C149 &gt;= Table5[[#Totals],[Pax]], 1, 0)</f>
        <v>1</v>
      </c>
      <c r="M149" s="17">
        <f t="shared" si="8"/>
        <v>1</v>
      </c>
    </row>
    <row r="150" spans="1:13" x14ac:dyDescent="0.35">
      <c r="A150" s="7">
        <v>5</v>
      </c>
      <c r="B150" s="6">
        <v>2015</v>
      </c>
      <c r="C150" s="10">
        <v>68819792</v>
      </c>
      <c r="D150" s="10">
        <v>60251945</v>
      </c>
      <c r="E150" s="10">
        <v>8567847</v>
      </c>
      <c r="F150" s="7" t="str">
        <f t="shared" si="6"/>
        <v>Fall</v>
      </c>
      <c r="G150">
        <f>Table4[[#This Row],[High_Traffic]]</f>
        <v>1</v>
      </c>
      <c r="H150" s="12">
        <f>IF(C150 &gt;= Table4[[#Totals],[Pax]], 1, 0)</f>
        <v>1</v>
      </c>
      <c r="I150" s="13">
        <f t="shared" si="7"/>
        <v>1</v>
      </c>
      <c r="J150" s="14"/>
      <c r="K150" s="14">
        <f>IF(C150 &gt;= Table5[[#Totals],[Pax]], 1, 0)</f>
        <v>1</v>
      </c>
      <c r="L150" s="14">
        <f>IF(C150 &gt;= Table5[[#Totals],[Pax]], 1, 0)</f>
        <v>1</v>
      </c>
      <c r="M150" s="14">
        <f t="shared" si="8"/>
        <v>1</v>
      </c>
    </row>
    <row r="151" spans="1:13" x14ac:dyDescent="0.35">
      <c r="A151" s="9">
        <v>6</v>
      </c>
      <c r="B151" s="8">
        <v>2015</v>
      </c>
      <c r="C151" s="11">
        <v>71163523</v>
      </c>
      <c r="D151" s="11">
        <v>61810705</v>
      </c>
      <c r="E151" s="11">
        <v>9352818</v>
      </c>
      <c r="F151" s="9" t="str">
        <f t="shared" si="6"/>
        <v>Fall</v>
      </c>
      <c r="G151">
        <f>Table4[[#This Row],[High_Traffic]]</f>
        <v>1</v>
      </c>
      <c r="H151" s="15">
        <f>IF(C151 &gt;= Table4[[#Totals],[Pax]], 1, 0)</f>
        <v>1</v>
      </c>
      <c r="I151" s="16">
        <f t="shared" si="7"/>
        <v>1</v>
      </c>
      <c r="J151" s="17"/>
      <c r="K151" s="17">
        <f>IF(C151 &gt;= Table5[[#Totals],[Pax]], 1, 0)</f>
        <v>1</v>
      </c>
      <c r="L151" s="17">
        <f>IF(C151 &gt;= Table5[[#Totals],[Pax]], 1, 0)</f>
        <v>1</v>
      </c>
      <c r="M151" s="17">
        <f t="shared" si="8"/>
        <v>1</v>
      </c>
    </row>
    <row r="152" spans="1:13" x14ac:dyDescent="0.35">
      <c r="A152" s="7">
        <v>7</v>
      </c>
      <c r="B152" s="6">
        <v>2015</v>
      </c>
      <c r="C152" s="10">
        <v>75523798</v>
      </c>
      <c r="D152" s="10">
        <v>65128528</v>
      </c>
      <c r="E152" s="10">
        <v>10395270</v>
      </c>
      <c r="F152" s="7" t="str">
        <f t="shared" si="6"/>
        <v>Fall</v>
      </c>
      <c r="G152">
        <f>Table4[[#This Row],[High_Traffic]]</f>
        <v>1</v>
      </c>
      <c r="H152" s="12">
        <f>IF(C152 &gt;= Table4[[#Totals],[Pax]], 1, 0)</f>
        <v>1</v>
      </c>
      <c r="I152" s="13">
        <f t="shared" si="7"/>
        <v>1</v>
      </c>
      <c r="J152" s="14"/>
      <c r="K152" s="14">
        <f>IF(C152 &gt;= Table5[[#Totals],[Pax]], 1, 0)</f>
        <v>1</v>
      </c>
      <c r="L152" s="14">
        <f>IF(C152 &gt;= Table5[[#Totals],[Pax]], 1, 0)</f>
        <v>1</v>
      </c>
      <c r="M152" s="14">
        <f t="shared" si="8"/>
        <v>1</v>
      </c>
    </row>
    <row r="153" spans="1:13" x14ac:dyDescent="0.35">
      <c r="A153" s="9">
        <v>8</v>
      </c>
      <c r="B153" s="8">
        <v>2015</v>
      </c>
      <c r="C153" s="11">
        <v>72751388</v>
      </c>
      <c r="D153" s="11">
        <v>62770180</v>
      </c>
      <c r="E153" s="11">
        <v>9981208</v>
      </c>
      <c r="F153" s="9" t="str">
        <f t="shared" si="6"/>
        <v>Fall</v>
      </c>
      <c r="G153">
        <f>Table4[[#This Row],[High_Traffic]]</f>
        <v>1</v>
      </c>
      <c r="H153" s="15">
        <f>IF(C153 &gt;= Table4[[#Totals],[Pax]], 1, 0)</f>
        <v>1</v>
      </c>
      <c r="I153" s="16">
        <f t="shared" si="7"/>
        <v>1</v>
      </c>
      <c r="J153" s="17"/>
      <c r="K153" s="17">
        <f>IF(C153 &gt;= Table5[[#Totals],[Pax]], 1, 0)</f>
        <v>1</v>
      </c>
      <c r="L153" s="17">
        <f>IF(C153 &gt;= Table5[[#Totals],[Pax]], 1, 0)</f>
        <v>1</v>
      </c>
      <c r="M153" s="17">
        <f t="shared" si="8"/>
        <v>1</v>
      </c>
    </row>
    <row r="154" spans="1:13" x14ac:dyDescent="0.35">
      <c r="A154" s="7">
        <v>9</v>
      </c>
      <c r="B154" s="6">
        <v>2015</v>
      </c>
      <c r="C154" s="10">
        <v>63645463</v>
      </c>
      <c r="D154" s="10">
        <v>55989104</v>
      </c>
      <c r="E154" s="10">
        <v>7656359</v>
      </c>
      <c r="F154" s="7" t="str">
        <f t="shared" si="6"/>
        <v>Fall</v>
      </c>
      <c r="G154">
        <f>Table4[[#This Row],[High_Traffic]]</f>
        <v>1</v>
      </c>
      <c r="H154" s="12">
        <f>IF(C154 &gt;= Table4[[#Totals],[Pax]], 1, 0)</f>
        <v>1</v>
      </c>
      <c r="I154" s="13">
        <f t="shared" si="7"/>
        <v>1</v>
      </c>
      <c r="J154" s="14"/>
      <c r="K154" s="14">
        <f>IF(C154 &gt;= Table5[[#Totals],[Pax]], 1, 0)</f>
        <v>1</v>
      </c>
      <c r="L154" s="14">
        <f>IF(C154 &gt;= Table5[[#Totals],[Pax]], 1, 0)</f>
        <v>1</v>
      </c>
      <c r="M154" s="14">
        <f t="shared" si="8"/>
        <v>1</v>
      </c>
    </row>
    <row r="155" spans="1:13" x14ac:dyDescent="0.35">
      <c r="A155" s="9">
        <v>10</v>
      </c>
      <c r="B155" s="8">
        <v>2015</v>
      </c>
      <c r="C155" s="11">
        <v>68631650</v>
      </c>
      <c r="D155" s="11">
        <v>60892131</v>
      </c>
      <c r="E155" s="11">
        <v>7739519</v>
      </c>
      <c r="F155" s="9" t="str">
        <f t="shared" si="6"/>
        <v>Fall</v>
      </c>
      <c r="G155">
        <f>Table4[[#This Row],[High_Traffic]]</f>
        <v>1</v>
      </c>
      <c r="H155" s="15">
        <f>IF(C155 &gt;= Table4[[#Totals],[Pax]], 1, 0)</f>
        <v>1</v>
      </c>
      <c r="I155" s="16">
        <f t="shared" si="7"/>
        <v>1</v>
      </c>
      <c r="J155" s="17"/>
      <c r="K155" s="17">
        <f>IF(C155 &gt;= Table5[[#Totals],[Pax]], 1, 0)</f>
        <v>1</v>
      </c>
      <c r="L155" s="17">
        <f>IF(C155 &gt;= Table5[[#Totals],[Pax]], 1, 0)</f>
        <v>1</v>
      </c>
      <c r="M155" s="17">
        <f t="shared" si="8"/>
        <v>1</v>
      </c>
    </row>
    <row r="156" spans="1:13" x14ac:dyDescent="0.35">
      <c r="A156" s="7">
        <v>11</v>
      </c>
      <c r="B156" s="6">
        <v>2015</v>
      </c>
      <c r="C156" s="10">
        <v>64482982</v>
      </c>
      <c r="D156" s="10">
        <v>57150501</v>
      </c>
      <c r="E156" s="10">
        <v>7332481</v>
      </c>
      <c r="F156" s="7" t="str">
        <f t="shared" si="6"/>
        <v>Fall</v>
      </c>
      <c r="G156">
        <f>Table4[[#This Row],[High_Traffic]]</f>
        <v>1</v>
      </c>
      <c r="H156" s="12">
        <f>IF(C156 &gt;= Table4[[#Totals],[Pax]], 1, 0)</f>
        <v>1</v>
      </c>
      <c r="I156" s="13">
        <f t="shared" si="7"/>
        <v>1</v>
      </c>
      <c r="J156" s="14"/>
      <c r="K156" s="14">
        <f>IF(C156 &gt;= Table5[[#Totals],[Pax]], 1, 0)</f>
        <v>1</v>
      </c>
      <c r="L156" s="14">
        <f>IF(C156 &gt;= Table5[[#Totals],[Pax]], 1, 0)</f>
        <v>1</v>
      </c>
      <c r="M156" s="14">
        <f t="shared" si="8"/>
        <v>1</v>
      </c>
    </row>
    <row r="157" spans="1:13" x14ac:dyDescent="0.35">
      <c r="A157" s="9">
        <v>12</v>
      </c>
      <c r="B157" s="8">
        <v>2015</v>
      </c>
      <c r="C157" s="11">
        <v>66281141</v>
      </c>
      <c r="D157" s="11">
        <v>57870281</v>
      </c>
      <c r="E157" s="11">
        <v>8410860</v>
      </c>
      <c r="F157" s="9" t="str">
        <f t="shared" si="6"/>
        <v>Fall</v>
      </c>
      <c r="G157">
        <f>Table4[[#This Row],[High_Traffic]]</f>
        <v>1</v>
      </c>
      <c r="H157" s="15">
        <f>IF(C157 &gt;= Table4[[#Totals],[Pax]], 1, 0)</f>
        <v>1</v>
      </c>
      <c r="I157" s="16">
        <f t="shared" si="7"/>
        <v>1</v>
      </c>
      <c r="J157" s="17"/>
      <c r="K157" s="17">
        <f>IF(C157 &gt;= Table5[[#Totals],[Pax]], 1, 0)</f>
        <v>1</v>
      </c>
      <c r="L157" s="17">
        <f>IF(C157 &gt;= Table5[[#Totals],[Pax]], 1, 0)</f>
        <v>1</v>
      </c>
      <c r="M157" s="17">
        <f t="shared" si="8"/>
        <v>1</v>
      </c>
    </row>
    <row r="158" spans="1:13" x14ac:dyDescent="0.35">
      <c r="A158" s="7">
        <v>1</v>
      </c>
      <c r="B158" s="6">
        <v>2016</v>
      </c>
      <c r="C158" s="10">
        <v>60694064</v>
      </c>
      <c r="D158" s="10">
        <v>52473830</v>
      </c>
      <c r="E158" s="10">
        <v>8220234</v>
      </c>
      <c r="F158" s="7" t="str">
        <f t="shared" si="6"/>
        <v>Fall</v>
      </c>
      <c r="G158">
        <f>Table4[[#This Row],[High_Traffic]]</f>
        <v>0</v>
      </c>
      <c r="H158" s="12">
        <f>IF(C158 &gt;= Table4[[#Totals],[Pax]], 1, 0)</f>
        <v>0</v>
      </c>
      <c r="I158" s="13">
        <f t="shared" si="7"/>
        <v>1</v>
      </c>
      <c r="J158" s="14"/>
      <c r="K158" s="14">
        <f>IF(C158 &gt;= Table5[[#Totals],[Pax]], 1, 0)</f>
        <v>0</v>
      </c>
      <c r="L158" s="14">
        <f>IF(C158 &gt;= Table5[[#Totals],[Pax]], 1, 0)</f>
        <v>0</v>
      </c>
      <c r="M158" s="14">
        <f t="shared" si="8"/>
        <v>1</v>
      </c>
    </row>
    <row r="159" spans="1:13" x14ac:dyDescent="0.35">
      <c r="A159" s="9">
        <v>2</v>
      </c>
      <c r="B159" s="8">
        <v>2016</v>
      </c>
      <c r="C159" s="11">
        <v>58388033</v>
      </c>
      <c r="D159" s="11">
        <v>51111121</v>
      </c>
      <c r="E159" s="11">
        <v>7276912</v>
      </c>
      <c r="F159" s="9" t="str">
        <f t="shared" si="6"/>
        <v>Fall</v>
      </c>
      <c r="G159">
        <f>Table4[[#This Row],[High_Traffic]]</f>
        <v>0</v>
      </c>
      <c r="H159" s="15">
        <f>IF(C159 &gt;= Table4[[#Totals],[Pax]], 1, 0)</f>
        <v>0</v>
      </c>
      <c r="I159" s="16">
        <f t="shared" si="7"/>
        <v>1</v>
      </c>
      <c r="J159" s="17"/>
      <c r="K159" s="17">
        <f>IF(C159 &gt;= Table5[[#Totals],[Pax]], 1, 0)</f>
        <v>0</v>
      </c>
      <c r="L159" s="17">
        <f>IF(C159 &gt;= Table5[[#Totals],[Pax]], 1, 0)</f>
        <v>0</v>
      </c>
      <c r="M159" s="17">
        <f t="shared" si="8"/>
        <v>1</v>
      </c>
    </row>
    <row r="160" spans="1:13" x14ac:dyDescent="0.35">
      <c r="A160" s="7">
        <v>3</v>
      </c>
      <c r="B160" s="6">
        <v>2016</v>
      </c>
      <c r="C160" s="10">
        <v>70439149</v>
      </c>
      <c r="D160" s="10">
        <v>61592900</v>
      </c>
      <c r="E160" s="10">
        <v>8846249</v>
      </c>
      <c r="F160" s="7" t="str">
        <f t="shared" si="6"/>
        <v>Fall</v>
      </c>
      <c r="G160">
        <f>Table4[[#This Row],[High_Traffic]]</f>
        <v>1</v>
      </c>
      <c r="H160" s="12">
        <f>IF(C160 &gt;= Table4[[#Totals],[Pax]], 1, 0)</f>
        <v>1</v>
      </c>
      <c r="I160" s="13">
        <f t="shared" si="7"/>
        <v>1</v>
      </c>
      <c r="J160" s="14"/>
      <c r="K160" s="14">
        <f>IF(C160 &gt;= Table5[[#Totals],[Pax]], 1, 0)</f>
        <v>1</v>
      </c>
      <c r="L160" s="14">
        <f>IF(C160 &gt;= Table5[[#Totals],[Pax]], 1, 0)</f>
        <v>1</v>
      </c>
      <c r="M160" s="14">
        <f t="shared" si="8"/>
        <v>1</v>
      </c>
    </row>
    <row r="161" spans="1:13" x14ac:dyDescent="0.35">
      <c r="A161" s="9">
        <v>4</v>
      </c>
      <c r="B161" s="8">
        <v>2016</v>
      </c>
      <c r="C161" s="11">
        <v>67130585</v>
      </c>
      <c r="D161" s="11">
        <v>58893676</v>
      </c>
      <c r="E161" s="11">
        <v>8236909</v>
      </c>
      <c r="F161" s="9" t="str">
        <f t="shared" si="6"/>
        <v>Fall</v>
      </c>
      <c r="G161">
        <f>Table4[[#This Row],[High_Traffic]]</f>
        <v>1</v>
      </c>
      <c r="H161" s="15">
        <f>IF(C161 &gt;= Table4[[#Totals],[Pax]], 1, 0)</f>
        <v>1</v>
      </c>
      <c r="I161" s="16">
        <f t="shared" si="7"/>
        <v>1</v>
      </c>
      <c r="J161" s="17"/>
      <c r="K161" s="17">
        <f>IF(C161 &gt;= Table5[[#Totals],[Pax]], 1, 0)</f>
        <v>1</v>
      </c>
      <c r="L161" s="17">
        <f>IF(C161 &gt;= Table5[[#Totals],[Pax]], 1, 0)</f>
        <v>1</v>
      </c>
      <c r="M161" s="17">
        <f t="shared" si="8"/>
        <v>1</v>
      </c>
    </row>
    <row r="162" spans="1:13" x14ac:dyDescent="0.35">
      <c r="A162" s="7">
        <v>5</v>
      </c>
      <c r="B162" s="6">
        <v>2016</v>
      </c>
      <c r="C162" s="10">
        <v>71410595</v>
      </c>
      <c r="D162" s="10">
        <v>62752121</v>
      </c>
      <c r="E162" s="10">
        <v>8658474</v>
      </c>
      <c r="F162" s="7" t="str">
        <f t="shared" si="6"/>
        <v>Fall</v>
      </c>
      <c r="G162">
        <f>Table4[[#This Row],[High_Traffic]]</f>
        <v>1</v>
      </c>
      <c r="H162" s="12">
        <f>IF(C162 &gt;= Table4[[#Totals],[Pax]], 1, 0)</f>
        <v>1</v>
      </c>
      <c r="I162" s="13">
        <f t="shared" si="7"/>
        <v>1</v>
      </c>
      <c r="J162" s="14"/>
      <c r="K162" s="14">
        <f>IF(C162 &gt;= Table5[[#Totals],[Pax]], 1, 0)</f>
        <v>1</v>
      </c>
      <c r="L162" s="14">
        <f>IF(C162 &gt;= Table5[[#Totals],[Pax]], 1, 0)</f>
        <v>1</v>
      </c>
      <c r="M162" s="14">
        <f t="shared" si="8"/>
        <v>1</v>
      </c>
    </row>
    <row r="163" spans="1:13" x14ac:dyDescent="0.35">
      <c r="A163" s="9">
        <v>6</v>
      </c>
      <c r="B163" s="8">
        <v>2016</v>
      </c>
      <c r="C163" s="11">
        <v>74406863</v>
      </c>
      <c r="D163" s="11">
        <v>64757222</v>
      </c>
      <c r="E163" s="11">
        <v>9649641</v>
      </c>
      <c r="F163" s="9" t="str">
        <f t="shared" si="6"/>
        <v>Fall</v>
      </c>
      <c r="G163">
        <f>Table4[[#This Row],[High_Traffic]]</f>
        <v>1</v>
      </c>
      <c r="H163" s="15">
        <f>IF(C163 &gt;= Table4[[#Totals],[Pax]], 1, 0)</f>
        <v>1</v>
      </c>
      <c r="I163" s="16">
        <f t="shared" si="7"/>
        <v>1</v>
      </c>
      <c r="J163" s="17"/>
      <c r="K163" s="17">
        <f>IF(C163 &gt;= Table5[[#Totals],[Pax]], 1, 0)</f>
        <v>1</v>
      </c>
      <c r="L163" s="17">
        <f>IF(C163 &gt;= Table5[[#Totals],[Pax]], 1, 0)</f>
        <v>1</v>
      </c>
      <c r="M163" s="17">
        <f t="shared" si="8"/>
        <v>1</v>
      </c>
    </row>
    <row r="164" spans="1:13" x14ac:dyDescent="0.35">
      <c r="A164" s="7">
        <v>7</v>
      </c>
      <c r="B164" s="6">
        <v>2016</v>
      </c>
      <c r="C164" s="10">
        <v>76786290</v>
      </c>
      <c r="D164" s="10">
        <v>66134540</v>
      </c>
      <c r="E164" s="10">
        <v>10651750</v>
      </c>
      <c r="F164" s="7" t="str">
        <f t="shared" si="6"/>
        <v>Fall</v>
      </c>
      <c r="G164">
        <f>Table4[[#This Row],[High_Traffic]]</f>
        <v>1</v>
      </c>
      <c r="H164" s="12">
        <f>IF(C164 &gt;= Table4[[#Totals],[Pax]], 1, 0)</f>
        <v>1</v>
      </c>
      <c r="I164" s="13">
        <f t="shared" si="7"/>
        <v>1</v>
      </c>
      <c r="J164" s="14"/>
      <c r="K164" s="14">
        <f>IF(C164 &gt;= Table5[[#Totals],[Pax]], 1, 0)</f>
        <v>1</v>
      </c>
      <c r="L164" s="14">
        <f>IF(C164 &gt;= Table5[[#Totals],[Pax]], 1, 0)</f>
        <v>1</v>
      </c>
      <c r="M164" s="14">
        <f t="shared" si="8"/>
        <v>1</v>
      </c>
    </row>
    <row r="165" spans="1:13" x14ac:dyDescent="0.35">
      <c r="A165" s="9">
        <v>8</v>
      </c>
      <c r="B165" s="8">
        <v>2016</v>
      </c>
      <c r="C165" s="11">
        <v>73349201</v>
      </c>
      <c r="D165" s="11">
        <v>63498165</v>
      </c>
      <c r="E165" s="11">
        <v>9851036</v>
      </c>
      <c r="F165" s="9" t="str">
        <f t="shared" si="6"/>
        <v>Fall</v>
      </c>
      <c r="G165">
        <f>Table4[[#This Row],[High_Traffic]]</f>
        <v>1</v>
      </c>
      <c r="H165" s="15">
        <f>IF(C165 &gt;= Table4[[#Totals],[Pax]], 1, 0)</f>
        <v>1</v>
      </c>
      <c r="I165" s="16">
        <f t="shared" si="7"/>
        <v>1</v>
      </c>
      <c r="J165" s="17"/>
      <c r="K165" s="17">
        <f>IF(C165 &gt;= Table5[[#Totals],[Pax]], 1, 0)</f>
        <v>1</v>
      </c>
      <c r="L165" s="17">
        <f>IF(C165 &gt;= Table5[[#Totals],[Pax]], 1, 0)</f>
        <v>1</v>
      </c>
      <c r="M165" s="17">
        <f t="shared" si="8"/>
        <v>1</v>
      </c>
    </row>
    <row r="166" spans="1:13" x14ac:dyDescent="0.35">
      <c r="A166" s="7">
        <v>9</v>
      </c>
      <c r="B166" s="6">
        <v>2016</v>
      </c>
      <c r="C166" s="10">
        <v>66386921</v>
      </c>
      <c r="D166" s="10">
        <v>58619844</v>
      </c>
      <c r="E166" s="10">
        <v>7767077</v>
      </c>
      <c r="F166" s="7" t="str">
        <f t="shared" si="6"/>
        <v>Fall</v>
      </c>
      <c r="G166">
        <f>Table4[[#This Row],[High_Traffic]]</f>
        <v>1</v>
      </c>
      <c r="H166" s="12">
        <f>IF(C166 &gt;= Table4[[#Totals],[Pax]], 1, 0)</f>
        <v>1</v>
      </c>
      <c r="I166" s="13">
        <f t="shared" si="7"/>
        <v>1</v>
      </c>
      <c r="J166" s="14"/>
      <c r="K166" s="14">
        <f>IF(C166 &gt;= Table5[[#Totals],[Pax]], 1, 0)</f>
        <v>1</v>
      </c>
      <c r="L166" s="14">
        <f>IF(C166 &gt;= Table5[[#Totals],[Pax]], 1, 0)</f>
        <v>1</v>
      </c>
      <c r="M166" s="14">
        <f t="shared" si="8"/>
        <v>1</v>
      </c>
    </row>
    <row r="167" spans="1:13" x14ac:dyDescent="0.35">
      <c r="A167" s="9">
        <v>10</v>
      </c>
      <c r="B167" s="8">
        <v>2016</v>
      </c>
      <c r="C167" s="11">
        <v>69454651</v>
      </c>
      <c r="D167" s="11">
        <v>61708696</v>
      </c>
      <c r="E167" s="11">
        <v>7745955</v>
      </c>
      <c r="F167" s="9" t="str">
        <f t="shared" si="6"/>
        <v>Fall</v>
      </c>
      <c r="G167">
        <f>Table4[[#This Row],[High_Traffic]]</f>
        <v>1</v>
      </c>
      <c r="H167" s="15">
        <f>IF(C167 &gt;= Table4[[#Totals],[Pax]], 1, 0)</f>
        <v>1</v>
      </c>
      <c r="I167" s="16">
        <f t="shared" si="7"/>
        <v>1</v>
      </c>
      <c r="J167" s="17"/>
      <c r="K167" s="17">
        <f>IF(C167 &gt;= Table5[[#Totals],[Pax]], 1, 0)</f>
        <v>1</v>
      </c>
      <c r="L167" s="17">
        <f>IF(C167 &gt;= Table5[[#Totals],[Pax]], 1, 0)</f>
        <v>1</v>
      </c>
      <c r="M167" s="17">
        <f t="shared" si="8"/>
        <v>1</v>
      </c>
    </row>
    <row r="168" spans="1:13" x14ac:dyDescent="0.35">
      <c r="A168" s="7">
        <v>11</v>
      </c>
      <c r="B168" s="6">
        <v>2016</v>
      </c>
      <c r="C168" s="10">
        <v>66528254</v>
      </c>
      <c r="D168" s="10">
        <v>59269062</v>
      </c>
      <c r="E168" s="10">
        <v>7259192</v>
      </c>
      <c r="F168" s="7" t="str">
        <f t="shared" si="6"/>
        <v>Fall</v>
      </c>
      <c r="G168">
        <f>Table4[[#This Row],[High_Traffic]]</f>
        <v>1</v>
      </c>
      <c r="H168" s="12">
        <f>IF(C168 &gt;= Table4[[#Totals],[Pax]], 1, 0)</f>
        <v>1</v>
      </c>
      <c r="I168" s="13">
        <f t="shared" si="7"/>
        <v>1</v>
      </c>
      <c r="J168" s="14"/>
      <c r="K168" s="14">
        <f>IF(C168 &gt;= Table5[[#Totals],[Pax]], 1, 0)</f>
        <v>1</v>
      </c>
      <c r="L168" s="14">
        <f>IF(C168 &gt;= Table5[[#Totals],[Pax]], 1, 0)</f>
        <v>1</v>
      </c>
      <c r="M168" s="14">
        <f t="shared" si="8"/>
        <v>1</v>
      </c>
    </row>
    <row r="169" spans="1:13" x14ac:dyDescent="0.35">
      <c r="A169" s="9">
        <v>12</v>
      </c>
      <c r="B169" s="8">
        <v>2016</v>
      </c>
      <c r="C169" s="11">
        <v>67914017</v>
      </c>
      <c r="D169" s="11">
        <v>59178183</v>
      </c>
      <c r="E169" s="11">
        <v>8735834</v>
      </c>
      <c r="F169" s="9" t="str">
        <f t="shared" si="6"/>
        <v>Fall</v>
      </c>
      <c r="G169">
        <f>Table4[[#This Row],[High_Traffic]]</f>
        <v>1</v>
      </c>
      <c r="H169" s="15">
        <f>IF(C169 &gt;= Table4[[#Totals],[Pax]], 1, 0)</f>
        <v>1</v>
      </c>
      <c r="I169" s="16">
        <f t="shared" si="7"/>
        <v>1</v>
      </c>
      <c r="J169" s="17"/>
      <c r="K169" s="17">
        <f>IF(C169 &gt;= Table5[[#Totals],[Pax]], 1, 0)</f>
        <v>1</v>
      </c>
      <c r="L169" s="17">
        <f>IF(C169 &gt;= Table5[[#Totals],[Pax]], 1, 0)</f>
        <v>1</v>
      </c>
      <c r="M169" s="17">
        <f t="shared" si="8"/>
        <v>1</v>
      </c>
    </row>
    <row r="170" spans="1:13" x14ac:dyDescent="0.35">
      <c r="A170" s="7">
        <v>1</v>
      </c>
      <c r="B170" s="6">
        <v>2017</v>
      </c>
      <c r="C170" s="10">
        <v>62560565</v>
      </c>
      <c r="D170" s="10">
        <v>54108732</v>
      </c>
      <c r="E170" s="10">
        <v>8451833</v>
      </c>
      <c r="F170" s="7" t="str">
        <f t="shared" si="6"/>
        <v>Fall</v>
      </c>
      <c r="G170">
        <f>Table4[[#This Row],[High_Traffic]]</f>
        <v>0</v>
      </c>
      <c r="H170" s="12">
        <f>IF(C170 &gt;= Table4[[#Totals],[Pax]], 1, 0)</f>
        <v>0</v>
      </c>
      <c r="I170" s="13">
        <f t="shared" si="7"/>
        <v>1</v>
      </c>
      <c r="J170" s="14"/>
      <c r="K170" s="14">
        <f>IF(C170 &gt;= Table5[[#Totals],[Pax]], 1, 0)</f>
        <v>0</v>
      </c>
      <c r="L170" s="14">
        <f>IF(C170 &gt;= Table5[[#Totals],[Pax]], 1, 0)</f>
        <v>0</v>
      </c>
      <c r="M170" s="14">
        <f t="shared" si="8"/>
        <v>1</v>
      </c>
    </row>
    <row r="171" spans="1:13" x14ac:dyDescent="0.35">
      <c r="A171" s="9">
        <v>2</v>
      </c>
      <c r="B171" s="8">
        <v>2017</v>
      </c>
      <c r="C171" s="11">
        <v>58320914</v>
      </c>
      <c r="D171" s="11">
        <v>51077566</v>
      </c>
      <c r="E171" s="11">
        <v>7243348</v>
      </c>
      <c r="F171" s="9" t="str">
        <f t="shared" si="6"/>
        <v>Fall</v>
      </c>
      <c r="G171">
        <f>Table4[[#This Row],[High_Traffic]]</f>
        <v>0</v>
      </c>
      <c r="H171" s="15">
        <f>IF(C171 &gt;= Table4[[#Totals],[Pax]], 1, 0)</f>
        <v>0</v>
      </c>
      <c r="I171" s="16">
        <f t="shared" si="7"/>
        <v>1</v>
      </c>
      <c r="J171" s="17"/>
      <c r="K171" s="17">
        <f>IF(C171 &gt;= Table5[[#Totals],[Pax]], 1, 0)</f>
        <v>0</v>
      </c>
      <c r="L171" s="17">
        <f>IF(C171 &gt;= Table5[[#Totals],[Pax]], 1, 0)</f>
        <v>0</v>
      </c>
      <c r="M171" s="17">
        <f t="shared" si="8"/>
        <v>1</v>
      </c>
    </row>
    <row r="172" spans="1:13" x14ac:dyDescent="0.35">
      <c r="A172" s="7">
        <v>3</v>
      </c>
      <c r="B172" s="6">
        <v>2017</v>
      </c>
      <c r="C172" s="10">
        <v>72897888</v>
      </c>
      <c r="D172" s="10">
        <v>63963230</v>
      </c>
      <c r="E172" s="10">
        <v>8934658</v>
      </c>
      <c r="F172" s="7" t="str">
        <f t="shared" si="6"/>
        <v>Fall</v>
      </c>
      <c r="G172">
        <f>Table4[[#This Row],[High_Traffic]]</f>
        <v>1</v>
      </c>
      <c r="H172" s="12">
        <f>IF(C172 &gt;= Table4[[#Totals],[Pax]], 1, 0)</f>
        <v>1</v>
      </c>
      <c r="I172" s="13">
        <f t="shared" si="7"/>
        <v>1</v>
      </c>
      <c r="J172" s="14"/>
      <c r="K172" s="14">
        <f>IF(C172 &gt;= Table5[[#Totals],[Pax]], 1, 0)</f>
        <v>1</v>
      </c>
      <c r="L172" s="14">
        <f>IF(C172 &gt;= Table5[[#Totals],[Pax]], 1, 0)</f>
        <v>1</v>
      </c>
      <c r="M172" s="14">
        <f t="shared" si="8"/>
        <v>1</v>
      </c>
    </row>
    <row r="173" spans="1:13" x14ac:dyDescent="0.35">
      <c r="A173" s="9">
        <v>4</v>
      </c>
      <c r="B173" s="8">
        <v>2017</v>
      </c>
      <c r="C173" s="11">
        <v>70196372</v>
      </c>
      <c r="D173" s="11">
        <v>61098649</v>
      </c>
      <c r="E173" s="11">
        <v>9097723</v>
      </c>
      <c r="F173" s="9" t="str">
        <f t="shared" si="6"/>
        <v>Fall</v>
      </c>
      <c r="G173">
        <f>Table4[[#This Row],[High_Traffic]]</f>
        <v>1</v>
      </c>
      <c r="H173" s="15">
        <f>IF(C173 &gt;= Table4[[#Totals],[Pax]], 1, 0)</f>
        <v>1</v>
      </c>
      <c r="I173" s="16">
        <f t="shared" si="7"/>
        <v>1</v>
      </c>
      <c r="J173" s="17"/>
      <c r="K173" s="17">
        <f>IF(C173 &gt;= Table5[[#Totals],[Pax]], 1, 0)</f>
        <v>1</v>
      </c>
      <c r="L173" s="17">
        <f>IF(C173 &gt;= Table5[[#Totals],[Pax]], 1, 0)</f>
        <v>1</v>
      </c>
      <c r="M173" s="17">
        <f t="shared" si="8"/>
        <v>1</v>
      </c>
    </row>
    <row r="174" spans="1:13" x14ac:dyDescent="0.35">
      <c r="A174" s="7">
        <v>5</v>
      </c>
      <c r="B174" s="6">
        <v>2017</v>
      </c>
      <c r="C174" s="10">
        <v>73621464</v>
      </c>
      <c r="D174" s="10">
        <v>64442559</v>
      </c>
      <c r="E174" s="10">
        <v>9178905</v>
      </c>
      <c r="F174" s="7" t="str">
        <f t="shared" si="6"/>
        <v>Fall</v>
      </c>
      <c r="G174">
        <f>Table4[[#This Row],[High_Traffic]]</f>
        <v>1</v>
      </c>
      <c r="H174" s="12">
        <f>IF(C174 &gt;= Table4[[#Totals],[Pax]], 1, 0)</f>
        <v>1</v>
      </c>
      <c r="I174" s="13">
        <f t="shared" si="7"/>
        <v>1</v>
      </c>
      <c r="J174" s="14"/>
      <c r="K174" s="14">
        <f>IF(C174 &gt;= Table5[[#Totals],[Pax]], 1, 0)</f>
        <v>1</v>
      </c>
      <c r="L174" s="14">
        <f>IF(C174 &gt;= Table5[[#Totals],[Pax]], 1, 0)</f>
        <v>1</v>
      </c>
      <c r="M174" s="14">
        <f t="shared" si="8"/>
        <v>1</v>
      </c>
    </row>
    <row r="175" spans="1:13" x14ac:dyDescent="0.35">
      <c r="A175" s="9">
        <v>6</v>
      </c>
      <c r="B175" s="8">
        <v>2017</v>
      </c>
      <c r="C175" s="11">
        <v>76957359</v>
      </c>
      <c r="D175" s="11">
        <v>66746003</v>
      </c>
      <c r="E175" s="11">
        <v>10211356</v>
      </c>
      <c r="F175" s="9" t="str">
        <f t="shared" si="6"/>
        <v>Fall</v>
      </c>
      <c r="G175">
        <f>Table4[[#This Row],[High_Traffic]]</f>
        <v>1</v>
      </c>
      <c r="H175" s="15">
        <f>IF(C175 &gt;= Table4[[#Totals],[Pax]], 1, 0)</f>
        <v>1</v>
      </c>
      <c r="I175" s="16">
        <f t="shared" si="7"/>
        <v>1</v>
      </c>
      <c r="J175" s="17"/>
      <c r="K175" s="17">
        <f>IF(C175 &gt;= Table5[[#Totals],[Pax]], 1, 0)</f>
        <v>1</v>
      </c>
      <c r="L175" s="17">
        <f>IF(C175 &gt;= Table5[[#Totals],[Pax]], 1, 0)</f>
        <v>1</v>
      </c>
      <c r="M175" s="17">
        <f t="shared" si="8"/>
        <v>1</v>
      </c>
    </row>
    <row r="176" spans="1:13" x14ac:dyDescent="0.35">
      <c r="A176" s="7">
        <v>7</v>
      </c>
      <c r="B176" s="6">
        <v>2017</v>
      </c>
      <c r="C176" s="10">
        <v>79764473</v>
      </c>
      <c r="D176" s="10">
        <v>68574097</v>
      </c>
      <c r="E176" s="10">
        <v>11190376</v>
      </c>
      <c r="F176" s="7" t="str">
        <f t="shared" si="6"/>
        <v>Fall</v>
      </c>
      <c r="G176">
        <f>Table4[[#This Row],[High_Traffic]]</f>
        <v>1</v>
      </c>
      <c r="H176" s="12">
        <f>IF(C176 &gt;= Table4[[#Totals],[Pax]], 1, 0)</f>
        <v>1</v>
      </c>
      <c r="I176" s="13">
        <f t="shared" si="7"/>
        <v>1</v>
      </c>
      <c r="J176" s="14"/>
      <c r="K176" s="14">
        <f>IF(C176 &gt;= Table5[[#Totals],[Pax]], 1, 0)</f>
        <v>1</v>
      </c>
      <c r="L176" s="14">
        <f>IF(C176 &gt;= Table5[[#Totals],[Pax]], 1, 0)</f>
        <v>1</v>
      </c>
      <c r="M176" s="14">
        <f t="shared" si="8"/>
        <v>1</v>
      </c>
    </row>
    <row r="177" spans="1:13" x14ac:dyDescent="0.35">
      <c r="A177" s="9">
        <v>8</v>
      </c>
      <c r="B177" s="8">
        <v>2017</v>
      </c>
      <c r="C177" s="11">
        <v>77047521</v>
      </c>
      <c r="D177" s="11">
        <v>66663503</v>
      </c>
      <c r="E177" s="11">
        <v>10384018</v>
      </c>
      <c r="F177" s="9" t="str">
        <f t="shared" si="6"/>
        <v>Fall</v>
      </c>
      <c r="G177">
        <f>Table4[[#This Row],[High_Traffic]]</f>
        <v>1</v>
      </c>
      <c r="H177" s="15">
        <f>IF(C177 &gt;= Table4[[#Totals],[Pax]], 1, 0)</f>
        <v>1</v>
      </c>
      <c r="I177" s="16">
        <f t="shared" si="7"/>
        <v>1</v>
      </c>
      <c r="J177" s="17"/>
      <c r="K177" s="17">
        <f>IF(C177 &gt;= Table5[[#Totals],[Pax]], 1, 0)</f>
        <v>1</v>
      </c>
      <c r="L177" s="17">
        <f>IF(C177 &gt;= Table5[[#Totals],[Pax]], 1, 0)</f>
        <v>1</v>
      </c>
      <c r="M177" s="17">
        <f t="shared" si="8"/>
        <v>1</v>
      </c>
    </row>
    <row r="178" spans="1:13" x14ac:dyDescent="0.35">
      <c r="A178" s="7">
        <v>9</v>
      </c>
      <c r="B178" s="6">
        <v>2017</v>
      </c>
      <c r="C178" s="10">
        <v>64870758</v>
      </c>
      <c r="D178" s="10">
        <v>57143966</v>
      </c>
      <c r="E178" s="10">
        <v>7726792</v>
      </c>
      <c r="F178" s="7" t="str">
        <f t="shared" si="6"/>
        <v>Fall</v>
      </c>
      <c r="G178">
        <f>Table4[[#This Row],[High_Traffic]]</f>
        <v>1</v>
      </c>
      <c r="H178" s="12">
        <f>IF(C178 &gt;= Table4[[#Totals],[Pax]], 1, 0)</f>
        <v>1</v>
      </c>
      <c r="I178" s="13">
        <f t="shared" si="7"/>
        <v>1</v>
      </c>
      <c r="J178" s="14"/>
      <c r="K178" s="14">
        <f>IF(C178 &gt;= Table5[[#Totals],[Pax]], 1, 0)</f>
        <v>1</v>
      </c>
      <c r="L178" s="14">
        <f>IF(C178 &gt;= Table5[[#Totals],[Pax]], 1, 0)</f>
        <v>1</v>
      </c>
      <c r="M178" s="14">
        <f t="shared" si="8"/>
        <v>1</v>
      </c>
    </row>
    <row r="179" spans="1:13" x14ac:dyDescent="0.35">
      <c r="A179" s="9">
        <v>10</v>
      </c>
      <c r="B179" s="8">
        <v>2017</v>
      </c>
      <c r="C179" s="11">
        <v>72655345</v>
      </c>
      <c r="D179" s="11">
        <v>64624806</v>
      </c>
      <c r="E179" s="11">
        <v>8030539</v>
      </c>
      <c r="F179" s="9" t="str">
        <f t="shared" si="6"/>
        <v>Fall</v>
      </c>
      <c r="G179">
        <f>Table4[[#This Row],[High_Traffic]]</f>
        <v>1</v>
      </c>
      <c r="H179" s="15">
        <f>IF(C179 &gt;= Table4[[#Totals],[Pax]], 1, 0)</f>
        <v>1</v>
      </c>
      <c r="I179" s="16">
        <f t="shared" si="7"/>
        <v>1</v>
      </c>
      <c r="J179" s="17"/>
      <c r="K179" s="17">
        <f>IF(C179 &gt;= Table5[[#Totals],[Pax]], 1, 0)</f>
        <v>1</v>
      </c>
      <c r="L179" s="17">
        <f>IF(C179 &gt;= Table5[[#Totals],[Pax]], 1, 0)</f>
        <v>1</v>
      </c>
      <c r="M179" s="17">
        <f t="shared" si="8"/>
        <v>1</v>
      </c>
    </row>
    <row r="180" spans="1:13" x14ac:dyDescent="0.35">
      <c r="A180" s="7">
        <v>11</v>
      </c>
      <c r="B180" s="6">
        <v>2017</v>
      </c>
      <c r="C180" s="10">
        <v>69590146</v>
      </c>
      <c r="D180" s="10">
        <v>61911285</v>
      </c>
      <c r="E180" s="10">
        <v>7678861</v>
      </c>
      <c r="F180" s="7" t="str">
        <f t="shared" si="6"/>
        <v>Fall</v>
      </c>
      <c r="G180">
        <f>Table4[[#This Row],[High_Traffic]]</f>
        <v>1</v>
      </c>
      <c r="H180" s="12">
        <f>IF(C180 &gt;= Table4[[#Totals],[Pax]], 1, 0)</f>
        <v>1</v>
      </c>
      <c r="I180" s="13">
        <f t="shared" si="7"/>
        <v>1</v>
      </c>
      <c r="J180" s="14"/>
      <c r="K180" s="14">
        <f>IF(C180 &gt;= Table5[[#Totals],[Pax]], 1, 0)</f>
        <v>1</v>
      </c>
      <c r="L180" s="14">
        <f>IF(C180 &gt;= Table5[[#Totals],[Pax]], 1, 0)</f>
        <v>1</v>
      </c>
      <c r="M180" s="14">
        <f t="shared" si="8"/>
        <v>1</v>
      </c>
    </row>
    <row r="181" spans="1:13" x14ac:dyDescent="0.35">
      <c r="A181" s="9">
        <v>12</v>
      </c>
      <c r="B181" s="8">
        <v>2017</v>
      </c>
      <c r="C181" s="11">
        <v>70286866</v>
      </c>
      <c r="D181" s="11">
        <v>61373581</v>
      </c>
      <c r="E181" s="11">
        <v>8913285</v>
      </c>
      <c r="F181" s="9" t="str">
        <f t="shared" si="6"/>
        <v>Fall</v>
      </c>
      <c r="G181">
        <f>Table4[[#This Row],[High_Traffic]]</f>
        <v>1</v>
      </c>
      <c r="H181" s="15">
        <f>IF(C181 &gt;= Table4[[#Totals],[Pax]], 1, 0)</f>
        <v>1</v>
      </c>
      <c r="I181" s="16">
        <f t="shared" si="7"/>
        <v>1</v>
      </c>
      <c r="J181" s="17"/>
      <c r="K181" s="17">
        <f>IF(C181 &gt;= Table5[[#Totals],[Pax]], 1, 0)</f>
        <v>1</v>
      </c>
      <c r="L181" s="17">
        <f>IF(C181 &gt;= Table5[[#Totals],[Pax]], 1, 0)</f>
        <v>1</v>
      </c>
      <c r="M181" s="17">
        <f t="shared" si="8"/>
        <v>1</v>
      </c>
    </row>
    <row r="182" spans="1:13" x14ac:dyDescent="0.35">
      <c r="A182" s="7">
        <v>1</v>
      </c>
      <c r="B182" s="6">
        <v>2018</v>
      </c>
      <c r="C182" s="10">
        <v>64389725</v>
      </c>
      <c r="D182" s="10">
        <v>55829992</v>
      </c>
      <c r="E182" s="10">
        <v>8559733</v>
      </c>
      <c r="F182" s="7" t="str">
        <f t="shared" si="6"/>
        <v>Fall</v>
      </c>
      <c r="G182">
        <f>Table4[[#This Row],[High_Traffic]]</f>
        <v>1</v>
      </c>
      <c r="H182" s="12">
        <f>IF(C182 &gt;= Table4[[#Totals],[Pax]], 1, 0)</f>
        <v>1</v>
      </c>
      <c r="I182" s="13">
        <f t="shared" si="7"/>
        <v>1</v>
      </c>
      <c r="J182" s="14"/>
      <c r="K182" s="14">
        <f>IF(C182 &gt;= Table5[[#Totals],[Pax]], 1, 0)</f>
        <v>1</v>
      </c>
      <c r="L182" s="14">
        <f>IF(C182 &gt;= Table5[[#Totals],[Pax]], 1, 0)</f>
        <v>1</v>
      </c>
      <c r="M182" s="14">
        <f t="shared" si="8"/>
        <v>1</v>
      </c>
    </row>
    <row r="183" spans="1:13" x14ac:dyDescent="0.35">
      <c r="A183" s="9">
        <v>2</v>
      </c>
      <c r="B183" s="8">
        <v>2018</v>
      </c>
      <c r="C183" s="11">
        <v>61674791</v>
      </c>
      <c r="D183" s="11">
        <v>54077854</v>
      </c>
      <c r="E183" s="11">
        <v>7596937</v>
      </c>
      <c r="F183" s="9" t="str">
        <f t="shared" si="6"/>
        <v>Fall</v>
      </c>
      <c r="G183">
        <f>Table4[[#This Row],[High_Traffic]]</f>
        <v>0</v>
      </c>
      <c r="H183" s="15">
        <f>IF(C183 &gt;= Table4[[#Totals],[Pax]], 1, 0)</f>
        <v>0</v>
      </c>
      <c r="I183" s="16">
        <f t="shared" si="7"/>
        <v>1</v>
      </c>
      <c r="J183" s="17"/>
      <c r="K183" s="17">
        <f>IF(C183 &gt;= Table5[[#Totals],[Pax]], 1, 0)</f>
        <v>0</v>
      </c>
      <c r="L183" s="17">
        <f>IF(C183 &gt;= Table5[[#Totals],[Pax]], 1, 0)</f>
        <v>0</v>
      </c>
      <c r="M183" s="17">
        <f t="shared" si="8"/>
        <v>1</v>
      </c>
    </row>
    <row r="184" spans="1:13" x14ac:dyDescent="0.35">
      <c r="A184" s="7">
        <v>3</v>
      </c>
      <c r="B184" s="6">
        <v>2018</v>
      </c>
      <c r="C184" s="10">
        <v>76247058</v>
      </c>
      <c r="D184" s="10">
        <v>66643229</v>
      </c>
      <c r="E184" s="10">
        <v>9603829</v>
      </c>
      <c r="F184" s="7" t="str">
        <f t="shared" si="6"/>
        <v>Fall</v>
      </c>
      <c r="G184">
        <f>Table4[[#This Row],[High_Traffic]]</f>
        <v>1</v>
      </c>
      <c r="H184" s="12">
        <f>IF(C184 &gt;= Table4[[#Totals],[Pax]], 1, 0)</f>
        <v>1</v>
      </c>
      <c r="I184" s="13">
        <f t="shared" si="7"/>
        <v>1</v>
      </c>
      <c r="J184" s="14"/>
      <c r="K184" s="14">
        <f>IF(C184 &gt;= Table5[[#Totals],[Pax]], 1, 0)</f>
        <v>1</v>
      </c>
      <c r="L184" s="14">
        <f>IF(C184 &gt;= Table5[[#Totals],[Pax]], 1, 0)</f>
        <v>1</v>
      </c>
      <c r="M184" s="14">
        <f t="shared" si="8"/>
        <v>1</v>
      </c>
    </row>
    <row r="185" spans="1:13" x14ac:dyDescent="0.35">
      <c r="A185" s="9">
        <v>4</v>
      </c>
      <c r="B185" s="8">
        <v>2018</v>
      </c>
      <c r="C185" s="11">
        <v>73592486</v>
      </c>
      <c r="D185" s="11">
        <v>64556900</v>
      </c>
      <c r="E185" s="11">
        <v>9035586</v>
      </c>
      <c r="F185" s="9" t="str">
        <f t="shared" si="6"/>
        <v>Fall</v>
      </c>
      <c r="G185">
        <f>Table4[[#This Row],[High_Traffic]]</f>
        <v>1</v>
      </c>
      <c r="H185" s="15">
        <f>IF(C185 &gt;= Table4[[#Totals],[Pax]], 1, 0)</f>
        <v>1</v>
      </c>
      <c r="I185" s="16">
        <f t="shared" si="7"/>
        <v>1</v>
      </c>
      <c r="J185" s="17"/>
      <c r="K185" s="17">
        <f>IF(C185 &gt;= Table5[[#Totals],[Pax]], 1, 0)</f>
        <v>1</v>
      </c>
      <c r="L185" s="17">
        <f>IF(C185 &gt;= Table5[[#Totals],[Pax]], 1, 0)</f>
        <v>1</v>
      </c>
      <c r="M185" s="17">
        <f t="shared" si="8"/>
        <v>1</v>
      </c>
    </row>
    <row r="186" spans="1:13" x14ac:dyDescent="0.35">
      <c r="A186" s="7">
        <v>5</v>
      </c>
      <c r="B186" s="6">
        <v>2018</v>
      </c>
      <c r="C186" s="10">
        <v>77260205</v>
      </c>
      <c r="D186" s="10">
        <v>67844134</v>
      </c>
      <c r="E186" s="10">
        <v>9416071</v>
      </c>
      <c r="F186" s="7" t="str">
        <f t="shared" si="6"/>
        <v>Fall</v>
      </c>
      <c r="G186">
        <f>Table4[[#This Row],[High_Traffic]]</f>
        <v>1</v>
      </c>
      <c r="H186" s="12">
        <f>IF(C186 &gt;= Table4[[#Totals],[Pax]], 1, 0)</f>
        <v>1</v>
      </c>
      <c r="I186" s="13">
        <f t="shared" si="7"/>
        <v>1</v>
      </c>
      <c r="J186" s="14"/>
      <c r="K186" s="14">
        <f>IF(C186 &gt;= Table5[[#Totals],[Pax]], 1, 0)</f>
        <v>1</v>
      </c>
      <c r="L186" s="14">
        <f>IF(C186 &gt;= Table5[[#Totals],[Pax]], 1, 0)</f>
        <v>1</v>
      </c>
      <c r="M186" s="14">
        <f t="shared" si="8"/>
        <v>1</v>
      </c>
    </row>
    <row r="187" spans="1:13" x14ac:dyDescent="0.35">
      <c r="A187" s="9">
        <v>6</v>
      </c>
      <c r="B187" s="8">
        <v>2018</v>
      </c>
      <c r="C187" s="11">
        <v>80847057</v>
      </c>
      <c r="D187" s="11">
        <v>70277734</v>
      </c>
      <c r="E187" s="11">
        <v>10569323</v>
      </c>
      <c r="F187" s="9" t="str">
        <f t="shared" si="6"/>
        <v>Fall</v>
      </c>
      <c r="G187">
        <f>Table4[[#This Row],[High_Traffic]]</f>
        <v>1</v>
      </c>
      <c r="H187" s="15">
        <f>IF(C187 &gt;= Table4[[#Totals],[Pax]], 1, 0)</f>
        <v>1</v>
      </c>
      <c r="I187" s="16">
        <f t="shared" si="7"/>
        <v>1</v>
      </c>
      <c r="J187" s="17"/>
      <c r="K187" s="17">
        <f>IF(C187 &gt;= Table5[[#Totals],[Pax]], 1, 0)</f>
        <v>1</v>
      </c>
      <c r="L187" s="17">
        <f>IF(C187 &gt;= Table5[[#Totals],[Pax]], 1, 0)</f>
        <v>1</v>
      </c>
      <c r="M187" s="17">
        <f t="shared" si="8"/>
        <v>1</v>
      </c>
    </row>
    <row r="188" spans="1:13" x14ac:dyDescent="0.35">
      <c r="A188" s="7">
        <v>7</v>
      </c>
      <c r="B188" s="6">
        <v>2018</v>
      </c>
      <c r="C188" s="10">
        <v>83931238</v>
      </c>
      <c r="D188" s="10">
        <v>72539780</v>
      </c>
      <c r="E188" s="10">
        <v>11391458</v>
      </c>
      <c r="F188" s="7" t="str">
        <f t="shared" si="6"/>
        <v>Fall</v>
      </c>
      <c r="G188">
        <f>Table4[[#This Row],[High_Traffic]]</f>
        <v>1</v>
      </c>
      <c r="H188" s="12">
        <f>IF(C188 &gt;= Table4[[#Totals],[Pax]], 1, 0)</f>
        <v>1</v>
      </c>
      <c r="I188" s="13">
        <f t="shared" si="7"/>
        <v>1</v>
      </c>
      <c r="J188" s="14"/>
      <c r="K188" s="14">
        <f>IF(C188 &gt;= Table5[[#Totals],[Pax]], 1, 0)</f>
        <v>1</v>
      </c>
      <c r="L188" s="14">
        <f>IF(C188 &gt;= Table5[[#Totals],[Pax]], 1, 0)</f>
        <v>1</v>
      </c>
      <c r="M188" s="14">
        <f t="shared" si="8"/>
        <v>1</v>
      </c>
    </row>
    <row r="189" spans="1:13" x14ac:dyDescent="0.35">
      <c r="A189" s="9">
        <v>8</v>
      </c>
      <c r="B189" s="8">
        <v>2018</v>
      </c>
      <c r="C189" s="11">
        <v>80962656</v>
      </c>
      <c r="D189" s="11">
        <v>70337936</v>
      </c>
      <c r="E189" s="11">
        <v>10624720</v>
      </c>
      <c r="F189" s="9" t="str">
        <f t="shared" si="6"/>
        <v>Fall</v>
      </c>
      <c r="G189">
        <f>Table4[[#This Row],[High_Traffic]]</f>
        <v>1</v>
      </c>
      <c r="H189" s="15">
        <f>IF(C189 &gt;= Table4[[#Totals],[Pax]], 1, 0)</f>
        <v>1</v>
      </c>
      <c r="I189" s="16">
        <f t="shared" si="7"/>
        <v>1</v>
      </c>
      <c r="J189" s="17"/>
      <c r="K189" s="17">
        <f>IF(C189 &gt;= Table5[[#Totals],[Pax]], 1, 0)</f>
        <v>1</v>
      </c>
      <c r="L189" s="17">
        <f>IF(C189 &gt;= Table5[[#Totals],[Pax]], 1, 0)</f>
        <v>1</v>
      </c>
      <c r="M189" s="17">
        <f t="shared" si="8"/>
        <v>1</v>
      </c>
    </row>
    <row r="190" spans="1:13" x14ac:dyDescent="0.35">
      <c r="A190" s="7">
        <v>9</v>
      </c>
      <c r="B190" s="6">
        <v>2018</v>
      </c>
      <c r="C190" s="10">
        <v>68676547</v>
      </c>
      <c r="D190" s="10">
        <v>60468115</v>
      </c>
      <c r="E190" s="10">
        <v>8208432</v>
      </c>
      <c r="F190" s="7" t="str">
        <f t="shared" si="6"/>
        <v>Fall</v>
      </c>
      <c r="G190">
        <f>Table4[[#This Row],[High_Traffic]]</f>
        <v>1</v>
      </c>
      <c r="H190" s="12">
        <f>IF(C190 &gt;= Table4[[#Totals],[Pax]], 1, 0)</f>
        <v>1</v>
      </c>
      <c r="I190" s="13">
        <f t="shared" si="7"/>
        <v>1</v>
      </c>
      <c r="J190" s="14"/>
      <c r="K190" s="14">
        <f>IF(C190 &gt;= Table5[[#Totals],[Pax]], 1, 0)</f>
        <v>1</v>
      </c>
      <c r="L190" s="14">
        <f>IF(C190 &gt;= Table5[[#Totals],[Pax]], 1, 0)</f>
        <v>1</v>
      </c>
      <c r="M190" s="14">
        <f t="shared" si="8"/>
        <v>1</v>
      </c>
    </row>
    <row r="191" spans="1:13" x14ac:dyDescent="0.35">
      <c r="A191" s="9">
        <v>10</v>
      </c>
      <c r="B191" s="8">
        <v>2018</v>
      </c>
      <c r="C191" s="11">
        <v>75480626</v>
      </c>
      <c r="D191" s="11">
        <v>67081594</v>
      </c>
      <c r="E191" s="11">
        <v>8399032</v>
      </c>
      <c r="F191" s="9" t="str">
        <f t="shared" si="6"/>
        <v>Fall</v>
      </c>
      <c r="G191">
        <f>Table4[[#This Row],[High_Traffic]]</f>
        <v>1</v>
      </c>
      <c r="H191" s="15">
        <f>IF(C191 &gt;= Table4[[#Totals],[Pax]], 1, 0)</f>
        <v>1</v>
      </c>
      <c r="I191" s="16">
        <f t="shared" si="7"/>
        <v>1</v>
      </c>
      <c r="J191" s="17"/>
      <c r="K191" s="17">
        <f>IF(C191 &gt;= Table5[[#Totals],[Pax]], 1, 0)</f>
        <v>1</v>
      </c>
      <c r="L191" s="17">
        <f>IF(C191 &gt;= Table5[[#Totals],[Pax]], 1, 0)</f>
        <v>1</v>
      </c>
      <c r="M191" s="17">
        <f t="shared" si="8"/>
        <v>1</v>
      </c>
    </row>
    <row r="192" spans="1:13" x14ac:dyDescent="0.35">
      <c r="A192" s="7">
        <v>11</v>
      </c>
      <c r="B192" s="6">
        <v>2018</v>
      </c>
      <c r="C192" s="10">
        <v>72712176</v>
      </c>
      <c r="D192" s="10">
        <v>64659493</v>
      </c>
      <c r="E192" s="10">
        <v>8052683</v>
      </c>
      <c r="F192" s="7" t="str">
        <f t="shared" si="6"/>
        <v>Fall</v>
      </c>
      <c r="G192">
        <f>Table4[[#This Row],[High_Traffic]]</f>
        <v>1</v>
      </c>
      <c r="H192" s="12">
        <f>IF(C192 &gt;= Table4[[#Totals],[Pax]], 1, 0)</f>
        <v>1</v>
      </c>
      <c r="I192" s="13">
        <f t="shared" si="7"/>
        <v>1</v>
      </c>
      <c r="J192" s="14"/>
      <c r="K192" s="14">
        <f>IF(C192 &gt;= Table5[[#Totals],[Pax]], 1, 0)</f>
        <v>1</v>
      </c>
      <c r="L192" s="14">
        <f>IF(C192 &gt;= Table5[[#Totals],[Pax]], 1, 0)</f>
        <v>1</v>
      </c>
      <c r="M192" s="14">
        <f t="shared" si="8"/>
        <v>1</v>
      </c>
    </row>
    <row r="193" spans="1:13" x14ac:dyDescent="0.35">
      <c r="A193" s="9">
        <v>12</v>
      </c>
      <c r="B193" s="8">
        <v>2018</v>
      </c>
      <c r="C193" s="11">
        <v>72855340</v>
      </c>
      <c r="D193" s="11">
        <v>63646119</v>
      </c>
      <c r="E193" s="11">
        <v>9209221</v>
      </c>
      <c r="F193" s="9" t="str">
        <f t="shared" si="6"/>
        <v>Fall</v>
      </c>
      <c r="G193">
        <f>Table4[[#This Row],[High_Traffic]]</f>
        <v>1</v>
      </c>
      <c r="H193" s="15">
        <f>IF(C193 &gt;= Table4[[#Totals],[Pax]], 1, 0)</f>
        <v>1</v>
      </c>
      <c r="I193" s="16">
        <f t="shared" si="7"/>
        <v>1</v>
      </c>
      <c r="J193" s="17"/>
      <c r="K193" s="17">
        <f>IF(C193 &gt;= Table5[[#Totals],[Pax]], 1, 0)</f>
        <v>1</v>
      </c>
      <c r="L193" s="17">
        <f>IF(C193 &gt;= Table5[[#Totals],[Pax]], 1, 0)</f>
        <v>1</v>
      </c>
      <c r="M193" s="17">
        <f t="shared" si="8"/>
        <v>1</v>
      </c>
    </row>
    <row r="194" spans="1:13" x14ac:dyDescent="0.35">
      <c r="A194" s="7">
        <v>1</v>
      </c>
      <c r="B194" s="6">
        <v>2019</v>
      </c>
      <c r="C194" s="10">
        <v>66990634</v>
      </c>
      <c r="D194" s="10">
        <v>58033637</v>
      </c>
      <c r="E194" s="10">
        <v>8956997</v>
      </c>
      <c r="F194" s="7" t="str">
        <f t="shared" ref="F194:F250" si="9">IF(E194&lt;=2,"Winter",
 IF(E194&lt;=5,"Spring",
 IF(E194&lt;=8,"Summer","Fall")))</f>
        <v>Fall</v>
      </c>
      <c r="G194">
        <f>Table4[[#This Row],[High_Traffic]]</f>
        <v>1</v>
      </c>
      <c r="H194" s="12">
        <f>IF(C194 &gt;= Table4[[#Totals],[Pax]], 1, 0)</f>
        <v>1</v>
      </c>
      <c r="I194" s="13">
        <f t="shared" ref="I194:I250" si="10">IF(G194=H194,1,0)</f>
        <v>1</v>
      </c>
      <c r="J194" s="14"/>
      <c r="K194" s="14">
        <f>IF(C194 &gt;= Table5[[#Totals],[Pax]], 1, 0)</f>
        <v>1</v>
      </c>
      <c r="L194" s="14">
        <f>IF(C194 &gt;= Table5[[#Totals],[Pax]], 1, 0)</f>
        <v>1</v>
      </c>
      <c r="M194" s="14">
        <f t="shared" ref="M194:M257" si="11">IF(L194 = G194, 1, 0)</f>
        <v>1</v>
      </c>
    </row>
    <row r="195" spans="1:13" x14ac:dyDescent="0.35">
      <c r="A195" s="9">
        <v>2</v>
      </c>
      <c r="B195" s="8">
        <v>2019</v>
      </c>
      <c r="C195" s="11">
        <v>63551231</v>
      </c>
      <c r="D195" s="11">
        <v>55679100</v>
      </c>
      <c r="E195" s="11">
        <v>7872131</v>
      </c>
      <c r="F195" s="9" t="str">
        <f t="shared" si="9"/>
        <v>Fall</v>
      </c>
      <c r="G195">
        <f>Table4[[#This Row],[High_Traffic]]</f>
        <v>1</v>
      </c>
      <c r="H195" s="15">
        <f>IF(C195 &gt;= Table4[[#Totals],[Pax]], 1, 0)</f>
        <v>1</v>
      </c>
      <c r="I195" s="16">
        <f t="shared" si="10"/>
        <v>1</v>
      </c>
      <c r="J195" s="17"/>
      <c r="K195" s="17">
        <f>IF(C195 &gt;= Table5[[#Totals],[Pax]], 1, 0)</f>
        <v>1</v>
      </c>
      <c r="L195" s="17">
        <f>IF(C195 &gt;= Table5[[#Totals],[Pax]], 1, 0)</f>
        <v>1</v>
      </c>
      <c r="M195" s="17">
        <f t="shared" si="11"/>
        <v>1</v>
      </c>
    </row>
    <row r="196" spans="1:13" x14ac:dyDescent="0.35">
      <c r="A196" s="7">
        <v>3</v>
      </c>
      <c r="B196" s="6">
        <v>2019</v>
      </c>
      <c r="C196" s="10">
        <v>80181591</v>
      </c>
      <c r="D196" s="10">
        <v>70233456</v>
      </c>
      <c r="E196" s="10">
        <v>9948135</v>
      </c>
      <c r="F196" s="7" t="str">
        <f t="shared" si="9"/>
        <v>Fall</v>
      </c>
      <c r="G196">
        <f>Table4[[#This Row],[High_Traffic]]</f>
        <v>1</v>
      </c>
      <c r="H196" s="12">
        <f>IF(C196 &gt;= Table4[[#Totals],[Pax]], 1, 0)</f>
        <v>1</v>
      </c>
      <c r="I196" s="13">
        <f t="shared" si="10"/>
        <v>1</v>
      </c>
      <c r="J196" s="14"/>
      <c r="K196" s="14">
        <f>IF(C196 &gt;= Table5[[#Totals],[Pax]], 1, 0)</f>
        <v>1</v>
      </c>
      <c r="L196" s="14">
        <f>IF(C196 &gt;= Table5[[#Totals],[Pax]], 1, 0)</f>
        <v>1</v>
      </c>
      <c r="M196" s="14">
        <f t="shared" si="11"/>
        <v>1</v>
      </c>
    </row>
    <row r="197" spans="1:13" x14ac:dyDescent="0.35">
      <c r="A197" s="9">
        <v>4</v>
      </c>
      <c r="B197" s="8">
        <v>2019</v>
      </c>
      <c r="C197" s="11">
        <v>76399263</v>
      </c>
      <c r="D197" s="11">
        <v>66938177</v>
      </c>
      <c r="E197" s="11">
        <v>9461086</v>
      </c>
      <c r="F197" s="9" t="str">
        <f t="shared" si="9"/>
        <v>Fall</v>
      </c>
      <c r="G197">
        <f>Table4[[#This Row],[High_Traffic]]</f>
        <v>1</v>
      </c>
      <c r="H197" s="15">
        <f>IF(C197 &gt;= Table4[[#Totals],[Pax]], 1, 0)</f>
        <v>1</v>
      </c>
      <c r="I197" s="16">
        <f t="shared" si="10"/>
        <v>1</v>
      </c>
      <c r="J197" s="17"/>
      <c r="K197" s="17">
        <f>IF(C197 &gt;= Table5[[#Totals],[Pax]], 1, 0)</f>
        <v>1</v>
      </c>
      <c r="L197" s="17">
        <f>IF(C197 &gt;= Table5[[#Totals],[Pax]], 1, 0)</f>
        <v>1</v>
      </c>
      <c r="M197" s="17">
        <f t="shared" si="11"/>
        <v>1</v>
      </c>
    </row>
    <row r="198" spans="1:13" x14ac:dyDescent="0.35">
      <c r="A198" s="7">
        <v>5</v>
      </c>
      <c r="B198" s="6">
        <v>2019</v>
      </c>
      <c r="C198" s="10">
        <v>81316469</v>
      </c>
      <c r="D198" s="10">
        <v>71363514</v>
      </c>
      <c r="E198" s="10">
        <v>9952955</v>
      </c>
      <c r="F198" s="7" t="str">
        <f t="shared" si="9"/>
        <v>Fall</v>
      </c>
      <c r="G198">
        <f>Table4[[#This Row],[High_Traffic]]</f>
        <v>1</v>
      </c>
      <c r="H198" s="12">
        <f>IF(C198 &gt;= Table4[[#Totals],[Pax]], 1, 0)</f>
        <v>1</v>
      </c>
      <c r="I198" s="13">
        <f t="shared" si="10"/>
        <v>1</v>
      </c>
      <c r="J198" s="14"/>
      <c r="K198" s="14">
        <f>IF(C198 &gt;= Table5[[#Totals],[Pax]], 1, 0)</f>
        <v>1</v>
      </c>
      <c r="L198" s="14">
        <f>IF(C198 &gt;= Table5[[#Totals],[Pax]], 1, 0)</f>
        <v>1</v>
      </c>
      <c r="M198" s="14">
        <f t="shared" si="11"/>
        <v>1</v>
      </c>
    </row>
    <row r="199" spans="1:13" x14ac:dyDescent="0.35">
      <c r="A199" s="9">
        <v>6</v>
      </c>
      <c r="B199" s="8">
        <v>2019</v>
      </c>
      <c r="C199" s="11">
        <v>83808577</v>
      </c>
      <c r="D199" s="11">
        <v>72789897</v>
      </c>
      <c r="E199" s="11">
        <v>11018680</v>
      </c>
      <c r="F199" s="9" t="str">
        <f t="shared" si="9"/>
        <v>Fall</v>
      </c>
      <c r="G199">
        <f>Table4[[#This Row],[High_Traffic]]</f>
        <v>1</v>
      </c>
      <c r="H199" s="15">
        <f>IF(C199 &gt;= Table4[[#Totals],[Pax]], 1, 0)</f>
        <v>1</v>
      </c>
      <c r="I199" s="16">
        <f t="shared" si="10"/>
        <v>1</v>
      </c>
      <c r="J199" s="17"/>
      <c r="K199" s="17">
        <f>IF(C199 &gt;= Table5[[#Totals],[Pax]], 1, 0)</f>
        <v>1</v>
      </c>
      <c r="L199" s="17">
        <f>IF(C199 &gt;= Table5[[#Totals],[Pax]], 1, 0)</f>
        <v>1</v>
      </c>
      <c r="M199" s="17">
        <f t="shared" si="11"/>
        <v>1</v>
      </c>
    </row>
    <row r="200" spans="1:13" x14ac:dyDescent="0.35">
      <c r="A200" s="7">
        <v>7</v>
      </c>
      <c r="B200" s="6">
        <v>2019</v>
      </c>
      <c r="C200" s="10">
        <v>86925851</v>
      </c>
      <c r="D200" s="10">
        <v>75281255</v>
      </c>
      <c r="E200" s="10">
        <v>11644596</v>
      </c>
      <c r="F200" s="7" t="str">
        <f t="shared" si="9"/>
        <v>Fall</v>
      </c>
      <c r="G200">
        <f>Table4[[#This Row],[High_Traffic]]</f>
        <v>1</v>
      </c>
      <c r="H200" s="12">
        <f>IF(C200 &gt;= Table4[[#Totals],[Pax]], 1, 0)</f>
        <v>1</v>
      </c>
      <c r="I200" s="13">
        <f t="shared" si="10"/>
        <v>1</v>
      </c>
      <c r="J200" s="14"/>
      <c r="K200" s="14">
        <f>IF(C200 &gt;= Table5[[#Totals],[Pax]], 1, 0)</f>
        <v>1</v>
      </c>
      <c r="L200" s="14">
        <f>IF(C200 &gt;= Table5[[#Totals],[Pax]], 1, 0)</f>
        <v>1</v>
      </c>
      <c r="M200" s="14">
        <f t="shared" si="11"/>
        <v>1</v>
      </c>
    </row>
    <row r="201" spans="1:13" x14ac:dyDescent="0.35">
      <c r="A201" s="9">
        <v>8</v>
      </c>
      <c r="B201" s="8">
        <v>2019</v>
      </c>
      <c r="C201" s="11">
        <v>83751188</v>
      </c>
      <c r="D201" s="11">
        <v>72715566</v>
      </c>
      <c r="E201" s="11">
        <v>11035622</v>
      </c>
      <c r="F201" s="9" t="str">
        <f t="shared" si="9"/>
        <v>Fall</v>
      </c>
      <c r="G201">
        <f>Table4[[#This Row],[High_Traffic]]</f>
        <v>1</v>
      </c>
      <c r="H201" s="15">
        <f>IF(C201 &gt;= Table4[[#Totals],[Pax]], 1, 0)</f>
        <v>1</v>
      </c>
      <c r="I201" s="16">
        <f t="shared" si="10"/>
        <v>1</v>
      </c>
      <c r="J201" s="17"/>
      <c r="K201" s="17">
        <f>IF(C201 &gt;= Table5[[#Totals],[Pax]], 1, 0)</f>
        <v>1</v>
      </c>
      <c r="L201" s="17">
        <f>IF(C201 &gt;= Table5[[#Totals],[Pax]], 1, 0)</f>
        <v>1</v>
      </c>
      <c r="M201" s="17">
        <f t="shared" si="11"/>
        <v>1</v>
      </c>
    </row>
    <row r="202" spans="1:13" x14ac:dyDescent="0.35">
      <c r="A202" s="7">
        <v>9</v>
      </c>
      <c r="B202" s="6">
        <v>2019</v>
      </c>
      <c r="C202" s="10">
        <v>72569324</v>
      </c>
      <c r="D202" s="10">
        <v>63979337</v>
      </c>
      <c r="E202" s="10">
        <v>8589987</v>
      </c>
      <c r="F202" s="7" t="str">
        <f t="shared" si="9"/>
        <v>Fall</v>
      </c>
      <c r="G202">
        <f>Table4[[#This Row],[High_Traffic]]</f>
        <v>1</v>
      </c>
      <c r="H202" s="12">
        <f>IF(C202 &gt;= Table4[[#Totals],[Pax]], 1, 0)</f>
        <v>1</v>
      </c>
      <c r="I202" s="13">
        <f t="shared" si="10"/>
        <v>1</v>
      </c>
      <c r="J202" s="14"/>
      <c r="K202" s="14">
        <f>IF(C202 &gt;= Table5[[#Totals],[Pax]], 1, 0)</f>
        <v>1</v>
      </c>
      <c r="L202" s="14">
        <f>IF(C202 &gt;= Table5[[#Totals],[Pax]], 1, 0)</f>
        <v>1</v>
      </c>
      <c r="M202" s="14">
        <f t="shared" si="11"/>
        <v>1</v>
      </c>
    </row>
    <row r="203" spans="1:13" x14ac:dyDescent="0.35">
      <c r="A203" s="9">
        <v>10</v>
      </c>
      <c r="B203" s="8">
        <v>2019</v>
      </c>
      <c r="C203" s="11">
        <v>78600600</v>
      </c>
      <c r="D203" s="11">
        <v>69922300</v>
      </c>
      <c r="E203" s="11">
        <v>8678300</v>
      </c>
      <c r="F203" s="9" t="str">
        <f t="shared" si="9"/>
        <v>Fall</v>
      </c>
      <c r="G203">
        <f>Table4[[#This Row],[High_Traffic]]</f>
        <v>1</v>
      </c>
      <c r="H203" s="15">
        <f>IF(C203 &gt;= Table4[[#Totals],[Pax]], 1, 0)</f>
        <v>1</v>
      </c>
      <c r="I203" s="16">
        <f t="shared" si="10"/>
        <v>1</v>
      </c>
      <c r="J203" s="17"/>
      <c r="K203" s="17">
        <f>IF(C203 &gt;= Table5[[#Totals],[Pax]], 1, 0)</f>
        <v>1</v>
      </c>
      <c r="L203" s="17">
        <f>IF(C203 &gt;= Table5[[#Totals],[Pax]], 1, 0)</f>
        <v>1</v>
      </c>
      <c r="M203" s="17">
        <f t="shared" si="11"/>
        <v>1</v>
      </c>
    </row>
    <row r="204" spans="1:13" x14ac:dyDescent="0.35">
      <c r="A204" s="7">
        <v>11</v>
      </c>
      <c r="B204" s="6">
        <v>2019</v>
      </c>
      <c r="C204" s="10">
        <v>73057527</v>
      </c>
      <c r="D204" s="10">
        <v>64816897</v>
      </c>
      <c r="E204" s="10">
        <v>8240630</v>
      </c>
      <c r="F204" s="7" t="str">
        <f t="shared" si="9"/>
        <v>Fall</v>
      </c>
      <c r="G204">
        <f>Table4[[#This Row],[High_Traffic]]</f>
        <v>1</v>
      </c>
      <c r="H204" s="12">
        <f>IF(C204 &gt;= Table4[[#Totals],[Pax]], 1, 0)</f>
        <v>1</v>
      </c>
      <c r="I204" s="13">
        <f t="shared" si="10"/>
        <v>1</v>
      </c>
      <c r="J204" s="14"/>
      <c r="K204" s="14">
        <f>IF(C204 &gt;= Table5[[#Totals],[Pax]], 1, 0)</f>
        <v>1</v>
      </c>
      <c r="L204" s="14">
        <f>IF(C204 &gt;= Table5[[#Totals],[Pax]], 1, 0)</f>
        <v>1</v>
      </c>
      <c r="M204" s="14">
        <f t="shared" si="11"/>
        <v>1</v>
      </c>
    </row>
    <row r="205" spans="1:13" x14ac:dyDescent="0.35">
      <c r="A205" s="9">
        <v>12</v>
      </c>
      <c r="B205" s="8">
        <v>2019</v>
      </c>
      <c r="C205" s="11">
        <v>79284659</v>
      </c>
      <c r="D205" s="11">
        <v>69718631</v>
      </c>
      <c r="E205" s="11">
        <v>9566028</v>
      </c>
      <c r="F205" s="9" t="str">
        <f t="shared" si="9"/>
        <v>Fall</v>
      </c>
      <c r="G205">
        <f>Table4[[#This Row],[High_Traffic]]</f>
        <v>1</v>
      </c>
      <c r="H205" s="15">
        <f>IF(C205 &gt;= Table4[[#Totals],[Pax]], 1, 0)</f>
        <v>1</v>
      </c>
      <c r="I205" s="16">
        <f t="shared" si="10"/>
        <v>1</v>
      </c>
      <c r="J205" s="17"/>
      <c r="K205" s="17">
        <f>IF(C205 &gt;= Table5[[#Totals],[Pax]], 1, 0)</f>
        <v>1</v>
      </c>
      <c r="L205" s="17">
        <f>IF(C205 &gt;= Table5[[#Totals],[Pax]], 1, 0)</f>
        <v>1</v>
      </c>
      <c r="M205" s="17">
        <f t="shared" si="11"/>
        <v>1</v>
      </c>
    </row>
    <row r="206" spans="1:13" x14ac:dyDescent="0.35">
      <c r="A206" s="7">
        <v>1</v>
      </c>
      <c r="B206" s="6">
        <v>2020</v>
      </c>
      <c r="C206" s="10">
        <v>70767768</v>
      </c>
      <c r="D206" s="10">
        <v>61622947</v>
      </c>
      <c r="E206" s="10">
        <v>9144821</v>
      </c>
      <c r="F206" s="7" t="str">
        <f t="shared" si="9"/>
        <v>Fall</v>
      </c>
      <c r="G206">
        <f>Table4[[#This Row],[High_Traffic]]</f>
        <v>1</v>
      </c>
      <c r="H206" s="12">
        <f>IF(C206 &gt;= Table4[[#Totals],[Pax]], 1, 0)</f>
        <v>1</v>
      </c>
      <c r="I206" s="13">
        <f t="shared" si="10"/>
        <v>1</v>
      </c>
      <c r="J206" s="14"/>
      <c r="K206" s="14">
        <f>IF(C206 &gt;= Table5[[#Totals],[Pax]], 1, 0)</f>
        <v>1</v>
      </c>
      <c r="L206" s="14">
        <f>IF(C206 &gt;= Table5[[#Totals],[Pax]], 1, 0)</f>
        <v>1</v>
      </c>
      <c r="M206" s="14">
        <f t="shared" si="11"/>
        <v>1</v>
      </c>
    </row>
    <row r="207" spans="1:13" x14ac:dyDescent="0.35">
      <c r="A207" s="9">
        <v>2</v>
      </c>
      <c r="B207" s="8">
        <v>2020</v>
      </c>
      <c r="C207" s="11">
        <v>67813206</v>
      </c>
      <c r="D207" s="11">
        <v>59868112</v>
      </c>
      <c r="E207" s="11">
        <v>7945094</v>
      </c>
      <c r="F207" s="9" t="str">
        <f t="shared" si="9"/>
        <v>Fall</v>
      </c>
      <c r="G207">
        <f>Table4[[#This Row],[High_Traffic]]</f>
        <v>1</v>
      </c>
      <c r="H207" s="15">
        <f>IF(C207 &gt;= Table4[[#Totals],[Pax]], 1, 0)</f>
        <v>1</v>
      </c>
      <c r="I207" s="16">
        <f t="shared" si="10"/>
        <v>1</v>
      </c>
      <c r="J207" s="17"/>
      <c r="K207" s="17">
        <f>IF(C207 &gt;= Table5[[#Totals],[Pax]], 1, 0)</f>
        <v>1</v>
      </c>
      <c r="L207" s="17">
        <f>IF(C207 &gt;= Table5[[#Totals],[Pax]], 1, 0)</f>
        <v>1</v>
      </c>
      <c r="M207" s="17">
        <f t="shared" si="11"/>
        <v>1</v>
      </c>
    </row>
    <row r="208" spans="1:13" x14ac:dyDescent="0.35">
      <c r="A208" s="7">
        <v>3</v>
      </c>
      <c r="B208" s="6">
        <v>2020</v>
      </c>
      <c r="C208" s="10">
        <v>39058775</v>
      </c>
      <c r="D208" s="10">
        <v>34413597</v>
      </c>
      <c r="E208" s="10">
        <v>4645178</v>
      </c>
      <c r="F208" s="7" t="str">
        <f t="shared" si="9"/>
        <v>Fall</v>
      </c>
      <c r="G208">
        <f>Table4[[#This Row],[High_Traffic]]</f>
        <v>0</v>
      </c>
      <c r="H208" s="12">
        <f>IF(C208 &gt;= Table4[[#Totals],[Pax]], 1, 0)</f>
        <v>0</v>
      </c>
      <c r="I208" s="13">
        <f t="shared" si="10"/>
        <v>1</v>
      </c>
      <c r="J208" s="14"/>
      <c r="K208" s="14">
        <f>IF(C208 &gt;= Table5[[#Totals],[Pax]], 1, 0)</f>
        <v>0</v>
      </c>
      <c r="L208" s="14">
        <f>IF(C208 &gt;= Table5[[#Totals],[Pax]], 1, 0)</f>
        <v>0</v>
      </c>
      <c r="M208" s="14">
        <f t="shared" si="11"/>
        <v>1</v>
      </c>
    </row>
    <row r="209" spans="1:13" x14ac:dyDescent="0.35">
      <c r="A209" s="9">
        <v>4</v>
      </c>
      <c r="B209" s="8">
        <v>2020</v>
      </c>
      <c r="C209" s="11">
        <v>3013899</v>
      </c>
      <c r="D209" s="11">
        <v>2877290</v>
      </c>
      <c r="E209" s="11">
        <v>136609</v>
      </c>
      <c r="F209" s="9" t="str">
        <f t="shared" si="9"/>
        <v>Fall</v>
      </c>
      <c r="G209">
        <f>Table4[[#This Row],[High_Traffic]]</f>
        <v>0</v>
      </c>
      <c r="H209" s="15">
        <f>IF(C209 &gt;= Table4[[#Totals],[Pax]], 1, 0)</f>
        <v>0</v>
      </c>
      <c r="I209" s="16">
        <f t="shared" si="10"/>
        <v>1</v>
      </c>
      <c r="J209" s="17"/>
      <c r="K209" s="17">
        <f>IF(C209 &gt;= Table5[[#Totals],[Pax]], 1, 0)</f>
        <v>0</v>
      </c>
      <c r="L209" s="17">
        <f>IF(C209 &gt;= Table5[[#Totals],[Pax]], 1, 0)</f>
        <v>0</v>
      </c>
      <c r="M209" s="17">
        <f t="shared" si="11"/>
        <v>1</v>
      </c>
    </row>
    <row r="210" spans="1:13" x14ac:dyDescent="0.35">
      <c r="A210" s="7">
        <v>5</v>
      </c>
      <c r="B210" s="6">
        <v>2020</v>
      </c>
      <c r="C210" s="10">
        <v>9888029</v>
      </c>
      <c r="D210" s="10">
        <v>9697400</v>
      </c>
      <c r="E210" s="10">
        <v>190629</v>
      </c>
      <c r="F210" s="7" t="str">
        <f t="shared" si="9"/>
        <v>Fall</v>
      </c>
      <c r="G210">
        <f>Table4[[#This Row],[High_Traffic]]</f>
        <v>0</v>
      </c>
      <c r="H210" s="12">
        <f>IF(C210 &gt;= Table4[[#Totals],[Pax]], 1, 0)</f>
        <v>0</v>
      </c>
      <c r="I210" s="13">
        <f t="shared" si="10"/>
        <v>1</v>
      </c>
      <c r="J210" s="14"/>
      <c r="K210" s="14">
        <f>IF(C210 &gt;= Table5[[#Totals],[Pax]], 1, 0)</f>
        <v>0</v>
      </c>
      <c r="L210" s="14">
        <f>IF(C210 &gt;= Table5[[#Totals],[Pax]], 1, 0)</f>
        <v>0</v>
      </c>
      <c r="M210" s="14">
        <f t="shared" si="11"/>
        <v>1</v>
      </c>
    </row>
    <row r="211" spans="1:13" x14ac:dyDescent="0.35">
      <c r="A211" s="9">
        <v>6</v>
      </c>
      <c r="B211" s="8">
        <v>2020</v>
      </c>
      <c r="C211" s="11">
        <v>16610992</v>
      </c>
      <c r="D211" s="11">
        <v>16207290</v>
      </c>
      <c r="E211" s="11">
        <v>403702</v>
      </c>
      <c r="F211" s="9" t="str">
        <f t="shared" si="9"/>
        <v>Fall</v>
      </c>
      <c r="G211">
        <f>Table4[[#This Row],[High_Traffic]]</f>
        <v>0</v>
      </c>
      <c r="H211" s="15">
        <f>IF(C211 &gt;= Table4[[#Totals],[Pax]], 1, 0)</f>
        <v>0</v>
      </c>
      <c r="I211" s="16">
        <f t="shared" si="10"/>
        <v>1</v>
      </c>
      <c r="J211" s="17"/>
      <c r="K211" s="17">
        <f>IF(C211 &gt;= Table5[[#Totals],[Pax]], 1, 0)</f>
        <v>0</v>
      </c>
      <c r="L211" s="17">
        <f>IF(C211 &gt;= Table5[[#Totals],[Pax]], 1, 0)</f>
        <v>0</v>
      </c>
      <c r="M211" s="17">
        <f t="shared" si="11"/>
        <v>1</v>
      </c>
    </row>
    <row r="212" spans="1:13" x14ac:dyDescent="0.35">
      <c r="A212" s="7">
        <v>7</v>
      </c>
      <c r="B212" s="6">
        <v>2020</v>
      </c>
      <c r="C212" s="10">
        <v>24053884</v>
      </c>
      <c r="D212" s="10">
        <v>22921780</v>
      </c>
      <c r="E212" s="10">
        <v>1132104</v>
      </c>
      <c r="F212" s="7" t="str">
        <f t="shared" si="9"/>
        <v>Fall</v>
      </c>
      <c r="G212">
        <f>Table4[[#This Row],[High_Traffic]]</f>
        <v>0</v>
      </c>
      <c r="H212" s="12">
        <f>IF(C212 &gt;= Table4[[#Totals],[Pax]], 1, 0)</f>
        <v>0</v>
      </c>
      <c r="I212" s="13">
        <f t="shared" si="10"/>
        <v>1</v>
      </c>
      <c r="J212" s="14"/>
      <c r="K212" s="14">
        <f>IF(C212 &gt;= Table5[[#Totals],[Pax]], 1, 0)</f>
        <v>0</v>
      </c>
      <c r="L212" s="14">
        <f>IF(C212 &gt;= Table5[[#Totals],[Pax]], 1, 0)</f>
        <v>0</v>
      </c>
      <c r="M212" s="14">
        <f t="shared" si="11"/>
        <v>1</v>
      </c>
    </row>
    <row r="213" spans="1:13" x14ac:dyDescent="0.35">
      <c r="A213" s="9">
        <v>8</v>
      </c>
      <c r="B213" s="8">
        <v>2020</v>
      </c>
      <c r="C213" s="11">
        <v>25831100</v>
      </c>
      <c r="D213" s="11">
        <v>24431273</v>
      </c>
      <c r="E213" s="11">
        <v>1399827</v>
      </c>
      <c r="F213" s="9" t="str">
        <f t="shared" si="9"/>
        <v>Fall</v>
      </c>
      <c r="G213">
        <f>Table4[[#This Row],[High_Traffic]]</f>
        <v>0</v>
      </c>
      <c r="H213" s="15">
        <f>IF(C213 &gt;= Table4[[#Totals],[Pax]], 1, 0)</f>
        <v>0</v>
      </c>
      <c r="I213" s="16">
        <f t="shared" si="10"/>
        <v>1</v>
      </c>
      <c r="J213" s="17"/>
      <c r="K213" s="17">
        <f>IF(C213 &gt;= Table5[[#Totals],[Pax]], 1, 0)</f>
        <v>0</v>
      </c>
      <c r="L213" s="17">
        <f>IF(C213 &gt;= Table5[[#Totals],[Pax]], 1, 0)</f>
        <v>0</v>
      </c>
      <c r="M213" s="17">
        <f t="shared" si="11"/>
        <v>1</v>
      </c>
    </row>
    <row r="214" spans="1:13" x14ac:dyDescent="0.35">
      <c r="A214" s="7">
        <v>9</v>
      </c>
      <c r="B214" s="6">
        <v>2020</v>
      </c>
      <c r="C214" s="10">
        <v>25268025</v>
      </c>
      <c r="D214" s="10">
        <v>23854440</v>
      </c>
      <c r="E214" s="10">
        <v>1413585</v>
      </c>
      <c r="F214" s="7" t="str">
        <f t="shared" si="9"/>
        <v>Fall</v>
      </c>
      <c r="G214">
        <f>Table4[[#This Row],[High_Traffic]]</f>
        <v>0</v>
      </c>
      <c r="H214" s="12">
        <f>IF(C214 &gt;= Table4[[#Totals],[Pax]], 1, 0)</f>
        <v>0</v>
      </c>
      <c r="I214" s="13">
        <f t="shared" si="10"/>
        <v>1</v>
      </c>
      <c r="J214" s="14"/>
      <c r="K214" s="14">
        <f>IF(C214 &gt;= Table5[[#Totals],[Pax]], 1, 0)</f>
        <v>0</v>
      </c>
      <c r="L214" s="14">
        <f>IF(C214 &gt;= Table5[[#Totals],[Pax]], 1, 0)</f>
        <v>0</v>
      </c>
      <c r="M214" s="14">
        <f t="shared" si="11"/>
        <v>1</v>
      </c>
    </row>
    <row r="215" spans="1:13" x14ac:dyDescent="0.35">
      <c r="A215" s="9">
        <v>10</v>
      </c>
      <c r="B215" s="8">
        <v>2020</v>
      </c>
      <c r="C215" s="11">
        <v>30009436</v>
      </c>
      <c r="D215" s="11">
        <v>28026570</v>
      </c>
      <c r="E215" s="11">
        <v>1982866</v>
      </c>
      <c r="F215" s="9" t="str">
        <f t="shared" si="9"/>
        <v>Fall</v>
      </c>
      <c r="G215">
        <f>Table4[[#This Row],[High_Traffic]]</f>
        <v>0</v>
      </c>
      <c r="H215" s="15">
        <f>IF(C215 &gt;= Table4[[#Totals],[Pax]], 1, 0)</f>
        <v>0</v>
      </c>
      <c r="I215" s="16">
        <f t="shared" si="10"/>
        <v>1</v>
      </c>
      <c r="J215" s="17"/>
      <c r="K215" s="17">
        <f>IF(C215 &gt;= Table5[[#Totals],[Pax]], 1, 0)</f>
        <v>0</v>
      </c>
      <c r="L215" s="17">
        <f>IF(C215 &gt;= Table5[[#Totals],[Pax]], 1, 0)</f>
        <v>0</v>
      </c>
      <c r="M215" s="17">
        <f t="shared" si="11"/>
        <v>1</v>
      </c>
    </row>
    <row r="216" spans="1:13" x14ac:dyDescent="0.35">
      <c r="A216" s="7">
        <v>11</v>
      </c>
      <c r="B216" s="6">
        <v>2020</v>
      </c>
      <c r="C216" s="10">
        <v>28757534</v>
      </c>
      <c r="D216" s="10">
        <v>26293959</v>
      </c>
      <c r="E216" s="10">
        <v>2463575</v>
      </c>
      <c r="F216" s="7" t="str">
        <f t="shared" si="9"/>
        <v>Fall</v>
      </c>
      <c r="G216">
        <f>Table4[[#This Row],[High_Traffic]]</f>
        <v>0</v>
      </c>
      <c r="H216" s="12">
        <f>IF(C216 &gt;= Table4[[#Totals],[Pax]], 1, 0)</f>
        <v>0</v>
      </c>
      <c r="I216" s="13">
        <f t="shared" si="10"/>
        <v>1</v>
      </c>
      <c r="J216" s="14"/>
      <c r="K216" s="14">
        <f>IF(C216 &gt;= Table5[[#Totals],[Pax]], 1, 0)</f>
        <v>0</v>
      </c>
      <c r="L216" s="14">
        <f>IF(C216 &gt;= Table5[[#Totals],[Pax]], 1, 0)</f>
        <v>0</v>
      </c>
      <c r="M216" s="14">
        <f t="shared" si="11"/>
        <v>1</v>
      </c>
    </row>
    <row r="217" spans="1:13" x14ac:dyDescent="0.35">
      <c r="A217" s="9">
        <v>12</v>
      </c>
      <c r="B217" s="8">
        <v>2020</v>
      </c>
      <c r="C217" s="11">
        <v>30532865</v>
      </c>
      <c r="D217" s="11">
        <v>27263462</v>
      </c>
      <c r="E217" s="11">
        <v>3269403</v>
      </c>
      <c r="F217" s="9" t="str">
        <f t="shared" si="9"/>
        <v>Fall</v>
      </c>
      <c r="G217">
        <f>Table4[[#This Row],[High_Traffic]]</f>
        <v>0</v>
      </c>
      <c r="H217" s="15">
        <f>IF(C217 &gt;= Table4[[#Totals],[Pax]], 1, 0)</f>
        <v>0</v>
      </c>
      <c r="I217" s="16">
        <f t="shared" si="10"/>
        <v>1</v>
      </c>
      <c r="J217" s="17"/>
      <c r="K217" s="17">
        <f>IF(C217 &gt;= Table5[[#Totals],[Pax]], 1, 0)</f>
        <v>0</v>
      </c>
      <c r="L217" s="17">
        <f>IF(C217 &gt;= Table5[[#Totals],[Pax]], 1, 0)</f>
        <v>0</v>
      </c>
      <c r="M217" s="17">
        <f t="shared" si="11"/>
        <v>1</v>
      </c>
    </row>
    <row r="218" spans="1:13" x14ac:dyDescent="0.35">
      <c r="A218" s="7">
        <v>1</v>
      </c>
      <c r="B218" s="6">
        <v>2021</v>
      </c>
      <c r="C218" s="10">
        <v>27291696</v>
      </c>
      <c r="D218" s="10">
        <v>24305435</v>
      </c>
      <c r="E218" s="10">
        <v>2986261</v>
      </c>
      <c r="F218" s="7" t="str">
        <f t="shared" si="9"/>
        <v>Fall</v>
      </c>
      <c r="G218">
        <f>Table4[[#This Row],[High_Traffic]]</f>
        <v>0</v>
      </c>
      <c r="H218" s="12">
        <f>IF(C218 &gt;= Table4[[#Totals],[Pax]], 1, 0)</f>
        <v>0</v>
      </c>
      <c r="I218" s="13">
        <f t="shared" si="10"/>
        <v>1</v>
      </c>
      <c r="J218" s="14"/>
      <c r="K218" s="14">
        <f>IF(C218 &gt;= Table5[[#Totals],[Pax]], 1, 0)</f>
        <v>0</v>
      </c>
      <c r="L218" s="14">
        <f>IF(C218 &gt;= Table5[[#Totals],[Pax]], 1, 0)</f>
        <v>0</v>
      </c>
      <c r="M218" s="14">
        <f t="shared" si="11"/>
        <v>1</v>
      </c>
    </row>
    <row r="219" spans="1:13" x14ac:dyDescent="0.35">
      <c r="A219" s="9">
        <v>2</v>
      </c>
      <c r="B219" s="8">
        <v>2021</v>
      </c>
      <c r="C219" s="11">
        <v>26604490</v>
      </c>
      <c r="D219" s="11">
        <v>24483154</v>
      </c>
      <c r="E219" s="11">
        <v>2121336</v>
      </c>
      <c r="F219" s="9" t="str">
        <f t="shared" si="9"/>
        <v>Fall</v>
      </c>
      <c r="G219">
        <f>Table4[[#This Row],[High_Traffic]]</f>
        <v>0</v>
      </c>
      <c r="H219" s="15">
        <f>IF(C219 &gt;= Table4[[#Totals],[Pax]], 1, 0)</f>
        <v>0</v>
      </c>
      <c r="I219" s="16">
        <f t="shared" si="10"/>
        <v>1</v>
      </c>
      <c r="J219" s="17"/>
      <c r="K219" s="17">
        <f>IF(C219 &gt;= Table5[[#Totals],[Pax]], 1, 0)</f>
        <v>0</v>
      </c>
      <c r="L219" s="17">
        <f>IF(C219 &gt;= Table5[[#Totals],[Pax]], 1, 0)</f>
        <v>0</v>
      </c>
      <c r="M219" s="17">
        <f t="shared" si="11"/>
        <v>1</v>
      </c>
    </row>
    <row r="220" spans="1:13" x14ac:dyDescent="0.35">
      <c r="A220" s="7">
        <v>3</v>
      </c>
      <c r="B220" s="6">
        <v>2021</v>
      </c>
      <c r="C220" s="10">
        <v>42796798</v>
      </c>
      <c r="D220" s="10">
        <v>39342855</v>
      </c>
      <c r="E220" s="10">
        <v>3453943</v>
      </c>
      <c r="F220" s="7" t="str">
        <f t="shared" si="9"/>
        <v>Fall</v>
      </c>
      <c r="G220">
        <f>Table4[[#This Row],[High_Traffic]]</f>
        <v>0</v>
      </c>
      <c r="H220" s="12">
        <f>IF(C220 &gt;= Table4[[#Totals],[Pax]], 1, 0)</f>
        <v>0</v>
      </c>
      <c r="I220" s="13">
        <f t="shared" si="10"/>
        <v>1</v>
      </c>
      <c r="J220" s="14"/>
      <c r="K220" s="14">
        <f>IF(C220 &gt;= Table5[[#Totals],[Pax]], 1, 0)</f>
        <v>0</v>
      </c>
      <c r="L220" s="14">
        <f>IF(C220 &gt;= Table5[[#Totals],[Pax]], 1, 0)</f>
        <v>0</v>
      </c>
      <c r="M220" s="14">
        <f t="shared" si="11"/>
        <v>1</v>
      </c>
    </row>
    <row r="221" spans="1:13" x14ac:dyDescent="0.35">
      <c r="A221" s="9">
        <v>4</v>
      </c>
      <c r="B221" s="8">
        <v>2021</v>
      </c>
      <c r="C221" s="11">
        <v>47796661</v>
      </c>
      <c r="D221" s="11">
        <v>43798512</v>
      </c>
      <c r="E221" s="11">
        <v>3998149</v>
      </c>
      <c r="F221" s="9" t="str">
        <f t="shared" si="9"/>
        <v>Fall</v>
      </c>
      <c r="G221">
        <f>Table4[[#This Row],[High_Traffic]]</f>
        <v>0</v>
      </c>
      <c r="H221" s="15">
        <f>IF(C221 &gt;= Table4[[#Totals],[Pax]], 1, 0)</f>
        <v>0</v>
      </c>
      <c r="I221" s="16">
        <f t="shared" si="10"/>
        <v>1</v>
      </c>
      <c r="J221" s="17"/>
      <c r="K221" s="17">
        <f>IF(C221 &gt;= Table5[[#Totals],[Pax]], 1, 0)</f>
        <v>0</v>
      </c>
      <c r="L221" s="17">
        <f>IF(C221 &gt;= Table5[[#Totals],[Pax]], 1, 0)</f>
        <v>0</v>
      </c>
      <c r="M221" s="17">
        <f t="shared" si="11"/>
        <v>1</v>
      </c>
    </row>
    <row r="222" spans="1:13" x14ac:dyDescent="0.35">
      <c r="A222" s="7">
        <v>5</v>
      </c>
      <c r="B222" s="6">
        <v>2021</v>
      </c>
      <c r="C222" s="10">
        <v>57693367</v>
      </c>
      <c r="D222" s="10">
        <v>52751776</v>
      </c>
      <c r="E222" s="10">
        <v>4941591</v>
      </c>
      <c r="F222" s="7" t="str">
        <f t="shared" si="9"/>
        <v>Fall</v>
      </c>
      <c r="G222">
        <f>Table4[[#This Row],[High_Traffic]]</f>
        <v>0</v>
      </c>
      <c r="H222" s="12">
        <f>IF(C222 &gt;= Table4[[#Totals],[Pax]], 1, 0)</f>
        <v>0</v>
      </c>
      <c r="I222" s="13">
        <f t="shared" si="10"/>
        <v>1</v>
      </c>
      <c r="J222" s="14"/>
      <c r="K222" s="14">
        <f>IF(C222 &gt;= Table5[[#Totals],[Pax]], 1, 0)</f>
        <v>0</v>
      </c>
      <c r="L222" s="14">
        <f>IF(C222 &gt;= Table5[[#Totals],[Pax]], 1, 0)</f>
        <v>0</v>
      </c>
      <c r="M222" s="14">
        <f t="shared" si="11"/>
        <v>1</v>
      </c>
    </row>
    <row r="223" spans="1:13" x14ac:dyDescent="0.35">
      <c r="A223" s="9">
        <v>6</v>
      </c>
      <c r="B223" s="8">
        <v>2021</v>
      </c>
      <c r="C223" s="11">
        <v>66145224</v>
      </c>
      <c r="D223" s="11">
        <v>60109293</v>
      </c>
      <c r="E223" s="11">
        <v>6035931</v>
      </c>
      <c r="F223" s="9" t="str">
        <f t="shared" si="9"/>
        <v>Fall</v>
      </c>
      <c r="G223">
        <f>Table4[[#This Row],[High_Traffic]]</f>
        <v>1</v>
      </c>
      <c r="H223" s="15">
        <f>IF(C223 &gt;= Table4[[#Totals],[Pax]], 1, 0)</f>
        <v>1</v>
      </c>
      <c r="I223" s="16">
        <f t="shared" si="10"/>
        <v>1</v>
      </c>
      <c r="J223" s="17"/>
      <c r="K223" s="17">
        <f>IF(C223 &gt;= Table5[[#Totals],[Pax]], 1, 0)</f>
        <v>1</v>
      </c>
      <c r="L223" s="17">
        <f>IF(C223 &gt;= Table5[[#Totals],[Pax]], 1, 0)</f>
        <v>1</v>
      </c>
      <c r="M223" s="17">
        <f t="shared" si="11"/>
        <v>1</v>
      </c>
    </row>
    <row r="224" spans="1:13" x14ac:dyDescent="0.35">
      <c r="A224" s="7">
        <v>7</v>
      </c>
      <c r="B224" s="6">
        <v>2021</v>
      </c>
      <c r="C224" s="10">
        <v>73772808</v>
      </c>
      <c r="D224" s="10">
        <v>66739409</v>
      </c>
      <c r="E224" s="10">
        <v>7033399</v>
      </c>
      <c r="F224" s="7" t="str">
        <f t="shared" si="9"/>
        <v>Fall</v>
      </c>
      <c r="G224">
        <f>Table4[[#This Row],[High_Traffic]]</f>
        <v>1</v>
      </c>
      <c r="H224" s="12">
        <f>IF(C224 &gt;= Table4[[#Totals],[Pax]], 1, 0)</f>
        <v>1</v>
      </c>
      <c r="I224" s="13">
        <f t="shared" si="10"/>
        <v>1</v>
      </c>
      <c r="J224" s="14"/>
      <c r="K224" s="14">
        <f>IF(C224 &gt;= Table5[[#Totals],[Pax]], 1, 0)</f>
        <v>1</v>
      </c>
      <c r="L224" s="14">
        <f>IF(C224 &gt;= Table5[[#Totals],[Pax]], 1, 0)</f>
        <v>1</v>
      </c>
      <c r="M224" s="14">
        <f t="shared" si="11"/>
        <v>1</v>
      </c>
    </row>
    <row r="225" spans="1:13" x14ac:dyDescent="0.35">
      <c r="A225" s="9">
        <v>8</v>
      </c>
      <c r="B225" s="8">
        <v>2021</v>
      </c>
      <c r="C225" s="11">
        <v>66988064</v>
      </c>
      <c r="D225" s="11">
        <v>60630994</v>
      </c>
      <c r="E225" s="11">
        <v>6357070</v>
      </c>
      <c r="F225" s="9" t="str">
        <f t="shared" si="9"/>
        <v>Fall</v>
      </c>
      <c r="G225">
        <f>Table4[[#This Row],[High_Traffic]]</f>
        <v>1</v>
      </c>
      <c r="H225" s="15">
        <f>IF(C225 &gt;= Table4[[#Totals],[Pax]], 1, 0)</f>
        <v>1</v>
      </c>
      <c r="I225" s="16">
        <f t="shared" si="10"/>
        <v>1</v>
      </c>
      <c r="J225" s="17"/>
      <c r="K225" s="17">
        <f>IF(C225 &gt;= Table5[[#Totals],[Pax]], 1, 0)</f>
        <v>1</v>
      </c>
      <c r="L225" s="17">
        <f>IF(C225 &gt;= Table5[[#Totals],[Pax]], 1, 0)</f>
        <v>1</v>
      </c>
      <c r="M225" s="17">
        <f t="shared" si="11"/>
        <v>1</v>
      </c>
    </row>
    <row r="226" spans="1:13" x14ac:dyDescent="0.35">
      <c r="A226" s="7">
        <v>9</v>
      </c>
      <c r="B226" s="6">
        <v>2021</v>
      </c>
      <c r="C226" s="10">
        <v>58746082</v>
      </c>
      <c r="D226" s="10">
        <v>53902837</v>
      </c>
      <c r="E226" s="10">
        <v>4843245</v>
      </c>
      <c r="F226" s="7" t="str">
        <f t="shared" si="9"/>
        <v>Fall</v>
      </c>
      <c r="G226">
        <f>Table4[[#This Row],[High_Traffic]]</f>
        <v>0</v>
      </c>
      <c r="H226" s="12">
        <f>IF(C226 &gt;= Table4[[#Totals],[Pax]], 1, 0)</f>
        <v>0</v>
      </c>
      <c r="I226" s="13">
        <f t="shared" si="10"/>
        <v>1</v>
      </c>
      <c r="J226" s="14"/>
      <c r="K226" s="14">
        <f>IF(C226 &gt;= Table5[[#Totals],[Pax]], 1, 0)</f>
        <v>0</v>
      </c>
      <c r="L226" s="14">
        <f>IF(C226 &gt;= Table5[[#Totals],[Pax]], 1, 0)</f>
        <v>0</v>
      </c>
      <c r="M226" s="14">
        <f t="shared" si="11"/>
        <v>1</v>
      </c>
    </row>
    <row r="227" spans="1:13" x14ac:dyDescent="0.35">
      <c r="A227" s="9">
        <v>10</v>
      </c>
      <c r="B227" s="8">
        <v>2021</v>
      </c>
      <c r="C227" s="11">
        <v>65906829</v>
      </c>
      <c r="D227" s="11">
        <v>60546348</v>
      </c>
      <c r="E227" s="11">
        <v>5360481</v>
      </c>
      <c r="F227" s="9" t="str">
        <f t="shared" si="9"/>
        <v>Fall</v>
      </c>
      <c r="G227">
        <f>Table4[[#This Row],[High_Traffic]]</f>
        <v>1</v>
      </c>
      <c r="H227" s="15">
        <f>IF(C227 &gt;= Table4[[#Totals],[Pax]], 1, 0)</f>
        <v>1</v>
      </c>
      <c r="I227" s="16">
        <f t="shared" si="10"/>
        <v>1</v>
      </c>
      <c r="J227" s="17"/>
      <c r="K227" s="17">
        <f>IF(C227 &gt;= Table5[[#Totals],[Pax]], 1, 0)</f>
        <v>1</v>
      </c>
      <c r="L227" s="17">
        <f>IF(C227 &gt;= Table5[[#Totals],[Pax]], 1, 0)</f>
        <v>1</v>
      </c>
      <c r="M227" s="17">
        <f t="shared" si="11"/>
        <v>1</v>
      </c>
    </row>
    <row r="228" spans="1:13" x14ac:dyDescent="0.35">
      <c r="A228" s="7">
        <v>11</v>
      </c>
      <c r="B228" s="6">
        <v>2021</v>
      </c>
      <c r="C228" s="10">
        <v>65777748</v>
      </c>
      <c r="D228" s="10">
        <v>59779045</v>
      </c>
      <c r="E228" s="10">
        <v>5998703</v>
      </c>
      <c r="F228" s="7" t="str">
        <f t="shared" si="9"/>
        <v>Fall</v>
      </c>
      <c r="G228">
        <f>Table4[[#This Row],[High_Traffic]]</f>
        <v>1</v>
      </c>
      <c r="H228" s="12">
        <f>IF(C228 &gt;= Table4[[#Totals],[Pax]], 1, 0)</f>
        <v>1</v>
      </c>
      <c r="I228" s="13">
        <f t="shared" si="10"/>
        <v>1</v>
      </c>
      <c r="J228" s="14"/>
      <c r="K228" s="14">
        <f>IF(C228 &gt;= Table5[[#Totals],[Pax]], 1, 0)</f>
        <v>1</v>
      </c>
      <c r="L228" s="14">
        <f>IF(C228 &gt;= Table5[[#Totals],[Pax]], 1, 0)</f>
        <v>1</v>
      </c>
      <c r="M228" s="14">
        <f t="shared" si="11"/>
        <v>1</v>
      </c>
    </row>
    <row r="229" spans="1:13" x14ac:dyDescent="0.35">
      <c r="A229" s="9">
        <v>12</v>
      </c>
      <c r="B229" s="8">
        <v>2021</v>
      </c>
      <c r="C229" s="11">
        <v>66628465</v>
      </c>
      <c r="D229" s="11">
        <v>59534619</v>
      </c>
      <c r="E229" s="11">
        <v>7093846</v>
      </c>
      <c r="F229" s="9" t="str">
        <f t="shared" si="9"/>
        <v>Fall</v>
      </c>
      <c r="G229">
        <f>Table4[[#This Row],[High_Traffic]]</f>
        <v>1</v>
      </c>
      <c r="H229" s="15">
        <f>IF(C229 &gt;= Table4[[#Totals],[Pax]], 1, 0)</f>
        <v>1</v>
      </c>
      <c r="I229" s="16">
        <f t="shared" si="10"/>
        <v>1</v>
      </c>
      <c r="J229" s="17"/>
      <c r="K229" s="17">
        <f>IF(C229 &gt;= Table5[[#Totals],[Pax]], 1, 0)</f>
        <v>1</v>
      </c>
      <c r="L229" s="17">
        <f>IF(C229 &gt;= Table5[[#Totals],[Pax]], 1, 0)</f>
        <v>1</v>
      </c>
      <c r="M229" s="17">
        <f t="shared" si="11"/>
        <v>1</v>
      </c>
    </row>
    <row r="230" spans="1:13" x14ac:dyDescent="0.35">
      <c r="A230" s="7">
        <v>1</v>
      </c>
      <c r="B230" s="6">
        <v>2022</v>
      </c>
      <c r="C230" s="10">
        <v>51863112</v>
      </c>
      <c r="D230" s="10">
        <v>45814139</v>
      </c>
      <c r="E230" s="10">
        <v>6048973</v>
      </c>
      <c r="F230" s="7" t="str">
        <f t="shared" si="9"/>
        <v>Fall</v>
      </c>
      <c r="G230">
        <f>Table4[[#This Row],[High_Traffic]]</f>
        <v>0</v>
      </c>
      <c r="H230" s="12">
        <f>IF(C230 &gt;= Table4[[#Totals],[Pax]], 1, 0)</f>
        <v>0</v>
      </c>
      <c r="I230" s="13">
        <f t="shared" si="10"/>
        <v>1</v>
      </c>
      <c r="J230" s="14"/>
      <c r="K230" s="14">
        <f>IF(C230 &gt;= Table5[[#Totals],[Pax]], 1, 0)</f>
        <v>0</v>
      </c>
      <c r="L230" s="14">
        <f>IF(C230 &gt;= Table5[[#Totals],[Pax]], 1, 0)</f>
        <v>0</v>
      </c>
      <c r="M230" s="14">
        <f t="shared" si="11"/>
        <v>1</v>
      </c>
    </row>
    <row r="231" spans="1:13" x14ac:dyDescent="0.35">
      <c r="A231" s="9">
        <v>2</v>
      </c>
      <c r="B231" s="8">
        <v>2022</v>
      </c>
      <c r="C231" s="11">
        <v>54801918</v>
      </c>
      <c r="D231" s="11">
        <v>49075979</v>
      </c>
      <c r="E231" s="11">
        <v>5725939</v>
      </c>
      <c r="F231" s="9" t="str">
        <f t="shared" si="9"/>
        <v>Fall</v>
      </c>
      <c r="G231">
        <f>Table4[[#This Row],[High_Traffic]]</f>
        <v>0</v>
      </c>
      <c r="H231" s="15">
        <f>IF(C231 &gt;= Table4[[#Totals],[Pax]], 1, 0)</f>
        <v>0</v>
      </c>
      <c r="I231" s="16">
        <f t="shared" si="10"/>
        <v>1</v>
      </c>
      <c r="J231" s="17"/>
      <c r="K231" s="17">
        <f>IF(C231 &gt;= Table5[[#Totals],[Pax]], 1, 0)</f>
        <v>0</v>
      </c>
      <c r="L231" s="17">
        <f>IF(C231 &gt;= Table5[[#Totals],[Pax]], 1, 0)</f>
        <v>0</v>
      </c>
      <c r="M231" s="17">
        <f t="shared" si="11"/>
        <v>1</v>
      </c>
    </row>
    <row r="232" spans="1:13" x14ac:dyDescent="0.35">
      <c r="A232" s="7">
        <v>3</v>
      </c>
      <c r="B232" s="6">
        <v>2022</v>
      </c>
      <c r="C232" s="10">
        <v>72489903</v>
      </c>
      <c r="D232" s="10">
        <v>64617029</v>
      </c>
      <c r="E232" s="10">
        <v>7872874</v>
      </c>
      <c r="F232" s="7" t="str">
        <f t="shared" si="9"/>
        <v>Fall</v>
      </c>
      <c r="G232">
        <f>Table4[[#This Row],[High_Traffic]]</f>
        <v>1</v>
      </c>
      <c r="H232" s="12">
        <f>IF(C232 &gt;= Table4[[#Totals],[Pax]], 1, 0)</f>
        <v>1</v>
      </c>
      <c r="I232" s="13">
        <f t="shared" si="10"/>
        <v>1</v>
      </c>
      <c r="J232" s="14"/>
      <c r="K232" s="14">
        <f>IF(C232 &gt;= Table5[[#Totals],[Pax]], 1, 0)</f>
        <v>1</v>
      </c>
      <c r="L232" s="14">
        <f>IF(C232 &gt;= Table5[[#Totals],[Pax]], 1, 0)</f>
        <v>1</v>
      </c>
      <c r="M232" s="14">
        <f t="shared" si="11"/>
        <v>1</v>
      </c>
    </row>
    <row r="233" spans="1:13" x14ac:dyDescent="0.35">
      <c r="A233" s="9">
        <v>4</v>
      </c>
      <c r="B233" s="8">
        <v>2022</v>
      </c>
      <c r="C233" s="11">
        <v>71916439</v>
      </c>
      <c r="D233" s="11">
        <v>63518318</v>
      </c>
      <c r="E233" s="11">
        <v>8398121</v>
      </c>
      <c r="F233" s="9" t="str">
        <f t="shared" si="9"/>
        <v>Fall</v>
      </c>
      <c r="G233">
        <f>Table4[[#This Row],[High_Traffic]]</f>
        <v>1</v>
      </c>
      <c r="H233" s="15">
        <f>IF(C233 &gt;= Table4[[#Totals],[Pax]], 1, 0)</f>
        <v>1</v>
      </c>
      <c r="I233" s="16">
        <f t="shared" si="10"/>
        <v>1</v>
      </c>
      <c r="J233" s="17"/>
      <c r="K233" s="17">
        <f>IF(C233 &gt;= Table5[[#Totals],[Pax]], 1, 0)</f>
        <v>1</v>
      </c>
      <c r="L233" s="17">
        <f>IF(C233 &gt;= Table5[[#Totals],[Pax]], 1, 0)</f>
        <v>1</v>
      </c>
      <c r="M233" s="17">
        <f t="shared" si="11"/>
        <v>1</v>
      </c>
    </row>
    <row r="234" spans="1:13" x14ac:dyDescent="0.35">
      <c r="A234" s="7">
        <v>5</v>
      </c>
      <c r="B234" s="6">
        <v>2022</v>
      </c>
      <c r="C234" s="10">
        <v>75777537</v>
      </c>
      <c r="D234" s="10">
        <v>66961805</v>
      </c>
      <c r="E234" s="10">
        <v>8815732</v>
      </c>
      <c r="F234" s="7" t="str">
        <f t="shared" si="9"/>
        <v>Fall</v>
      </c>
      <c r="G234">
        <f>Table4[[#This Row],[High_Traffic]]</f>
        <v>1</v>
      </c>
      <c r="H234" s="12">
        <f>IF(C234 &gt;= Table4[[#Totals],[Pax]], 1, 0)</f>
        <v>1</v>
      </c>
      <c r="I234" s="13">
        <f t="shared" si="10"/>
        <v>1</v>
      </c>
      <c r="J234" s="14"/>
      <c r="K234" s="14">
        <f>IF(C234 &gt;= Table5[[#Totals],[Pax]], 1, 0)</f>
        <v>1</v>
      </c>
      <c r="L234" s="14">
        <f>IF(C234 &gt;= Table5[[#Totals],[Pax]], 1, 0)</f>
        <v>1</v>
      </c>
      <c r="M234" s="14">
        <f t="shared" si="11"/>
        <v>1</v>
      </c>
    </row>
    <row r="235" spans="1:13" x14ac:dyDescent="0.35">
      <c r="A235" s="9">
        <v>6</v>
      </c>
      <c r="B235" s="8">
        <v>2022</v>
      </c>
      <c r="C235" s="11">
        <v>77392138</v>
      </c>
      <c r="D235" s="11">
        <v>67368670</v>
      </c>
      <c r="E235" s="11">
        <v>10023468</v>
      </c>
      <c r="F235" s="9" t="str">
        <f t="shared" si="9"/>
        <v>Fall</v>
      </c>
      <c r="G235">
        <f>Table4[[#This Row],[High_Traffic]]</f>
        <v>1</v>
      </c>
      <c r="H235" s="15">
        <f>IF(C235 &gt;= Table4[[#Totals],[Pax]], 1, 0)</f>
        <v>1</v>
      </c>
      <c r="I235" s="16">
        <f t="shared" si="10"/>
        <v>1</v>
      </c>
      <c r="J235" s="17"/>
      <c r="K235" s="17">
        <f>IF(C235 &gt;= Table5[[#Totals],[Pax]], 1, 0)</f>
        <v>1</v>
      </c>
      <c r="L235" s="17">
        <f>IF(C235 &gt;= Table5[[#Totals],[Pax]], 1, 0)</f>
        <v>1</v>
      </c>
      <c r="M235" s="17">
        <f t="shared" si="11"/>
        <v>1</v>
      </c>
    </row>
    <row r="236" spans="1:13" x14ac:dyDescent="0.35">
      <c r="A236" s="7">
        <v>7</v>
      </c>
      <c r="B236" s="6">
        <v>2022</v>
      </c>
      <c r="C236" s="10">
        <v>80375197</v>
      </c>
      <c r="D236" s="10">
        <v>69432042</v>
      </c>
      <c r="E236" s="10">
        <v>10943155</v>
      </c>
      <c r="F236" s="7" t="str">
        <f t="shared" si="9"/>
        <v>Fall</v>
      </c>
      <c r="G236">
        <f>Table4[[#This Row],[High_Traffic]]</f>
        <v>1</v>
      </c>
      <c r="H236" s="12">
        <f>IF(C236 &gt;= Table4[[#Totals],[Pax]], 1, 0)</f>
        <v>1</v>
      </c>
      <c r="I236" s="13">
        <f t="shared" si="10"/>
        <v>1</v>
      </c>
      <c r="J236" s="14"/>
      <c r="K236" s="14">
        <f>IF(C236 &gt;= Table5[[#Totals],[Pax]], 1, 0)</f>
        <v>1</v>
      </c>
      <c r="L236" s="14">
        <f>IF(C236 &gt;= Table5[[#Totals],[Pax]], 1, 0)</f>
        <v>1</v>
      </c>
      <c r="M236" s="14">
        <f t="shared" si="11"/>
        <v>1</v>
      </c>
    </row>
    <row r="237" spans="1:13" x14ac:dyDescent="0.35">
      <c r="A237" s="9">
        <v>8</v>
      </c>
      <c r="B237" s="8">
        <v>2022</v>
      </c>
      <c r="C237" s="11">
        <v>76635996</v>
      </c>
      <c r="D237" s="11">
        <v>66520067</v>
      </c>
      <c r="E237" s="11">
        <v>10115929</v>
      </c>
      <c r="F237" s="9" t="str">
        <f t="shared" si="9"/>
        <v>Fall</v>
      </c>
      <c r="G237">
        <f>Table4[[#This Row],[High_Traffic]]</f>
        <v>1</v>
      </c>
      <c r="H237" s="15">
        <f>IF(C237 &gt;= Table4[[#Totals],[Pax]], 1, 0)</f>
        <v>1</v>
      </c>
      <c r="I237" s="16">
        <f t="shared" si="10"/>
        <v>1</v>
      </c>
      <c r="J237" s="17"/>
      <c r="K237" s="17">
        <f>IF(C237 &gt;= Table5[[#Totals],[Pax]], 1, 0)</f>
        <v>1</v>
      </c>
      <c r="L237" s="17">
        <f>IF(C237 &gt;= Table5[[#Totals],[Pax]], 1, 0)</f>
        <v>1</v>
      </c>
      <c r="M237" s="17">
        <f t="shared" si="11"/>
        <v>1</v>
      </c>
    </row>
    <row r="238" spans="1:13" x14ac:dyDescent="0.35">
      <c r="A238" s="7">
        <v>9</v>
      </c>
      <c r="B238" s="6">
        <v>2022</v>
      </c>
      <c r="C238" s="10">
        <v>71426961</v>
      </c>
      <c r="D238" s="10">
        <v>63139630</v>
      </c>
      <c r="E238" s="10">
        <v>8287331</v>
      </c>
      <c r="F238" s="7" t="str">
        <f t="shared" si="9"/>
        <v>Fall</v>
      </c>
      <c r="G238">
        <f>Table4[[#This Row],[High_Traffic]]</f>
        <v>1</v>
      </c>
      <c r="H238" s="12">
        <f>IF(C238 &gt;= Table4[[#Totals],[Pax]], 1, 0)</f>
        <v>1</v>
      </c>
      <c r="I238" s="13">
        <f t="shared" si="10"/>
        <v>1</v>
      </c>
      <c r="J238" s="14"/>
      <c r="K238" s="14">
        <f>IF(C238 &gt;= Table5[[#Totals],[Pax]], 1, 0)</f>
        <v>1</v>
      </c>
      <c r="L238" s="14">
        <f>IF(C238 &gt;= Table5[[#Totals],[Pax]], 1, 0)</f>
        <v>1</v>
      </c>
      <c r="M238" s="14">
        <f t="shared" si="11"/>
        <v>1</v>
      </c>
    </row>
    <row r="239" spans="1:13" x14ac:dyDescent="0.35">
      <c r="A239" s="9">
        <v>10</v>
      </c>
      <c r="B239" s="8">
        <v>2022</v>
      </c>
      <c r="C239" s="11">
        <v>76349699</v>
      </c>
      <c r="D239" s="11">
        <v>67935181</v>
      </c>
      <c r="E239" s="11">
        <v>8414518</v>
      </c>
      <c r="F239" s="9" t="str">
        <f t="shared" si="9"/>
        <v>Fall</v>
      </c>
      <c r="G239">
        <f>Table4[[#This Row],[High_Traffic]]</f>
        <v>1</v>
      </c>
      <c r="H239" s="15">
        <f>IF(C239 &gt;= Table4[[#Totals],[Pax]], 1, 0)</f>
        <v>1</v>
      </c>
      <c r="I239" s="16">
        <f t="shared" si="10"/>
        <v>1</v>
      </c>
      <c r="J239" s="17"/>
      <c r="K239" s="17">
        <f>IF(C239 &gt;= Table5[[#Totals],[Pax]], 1, 0)</f>
        <v>1</v>
      </c>
      <c r="L239" s="17">
        <f>IF(C239 &gt;= Table5[[#Totals],[Pax]], 1, 0)</f>
        <v>1</v>
      </c>
      <c r="M239" s="17">
        <f t="shared" si="11"/>
        <v>1</v>
      </c>
    </row>
    <row r="240" spans="1:13" x14ac:dyDescent="0.35">
      <c r="A240" s="7">
        <v>11</v>
      </c>
      <c r="B240" s="6">
        <v>2022</v>
      </c>
      <c r="C240" s="10">
        <v>71896946</v>
      </c>
      <c r="D240" s="10">
        <v>63680032</v>
      </c>
      <c r="E240" s="10">
        <v>8216914</v>
      </c>
      <c r="F240" s="7" t="str">
        <f t="shared" si="9"/>
        <v>Fall</v>
      </c>
      <c r="G240">
        <f>Table4[[#This Row],[High_Traffic]]</f>
        <v>1</v>
      </c>
      <c r="H240" s="12">
        <f>IF(C240 &gt;= Table4[[#Totals],[Pax]], 1, 0)</f>
        <v>1</v>
      </c>
      <c r="I240" s="13">
        <f t="shared" si="10"/>
        <v>1</v>
      </c>
      <c r="J240" s="14"/>
      <c r="K240" s="14">
        <f>IF(C240 &gt;= Table5[[#Totals],[Pax]], 1, 0)</f>
        <v>1</v>
      </c>
      <c r="L240" s="14">
        <f>IF(C240 &gt;= Table5[[#Totals],[Pax]], 1, 0)</f>
        <v>1</v>
      </c>
      <c r="M240" s="14">
        <f t="shared" si="11"/>
        <v>1</v>
      </c>
    </row>
    <row r="241" spans="1:13" x14ac:dyDescent="0.35">
      <c r="A241" s="9">
        <v>12</v>
      </c>
      <c r="B241" s="8">
        <v>2022</v>
      </c>
      <c r="C241" s="11">
        <v>71887680</v>
      </c>
      <c r="D241" s="11">
        <v>62482296</v>
      </c>
      <c r="E241" s="11">
        <v>9405384</v>
      </c>
      <c r="F241" s="9" t="str">
        <f t="shared" si="9"/>
        <v>Fall</v>
      </c>
      <c r="G241">
        <f>Table4[[#This Row],[High_Traffic]]</f>
        <v>1</v>
      </c>
      <c r="H241" s="15">
        <f>IF(C241 &gt;= Table4[[#Totals],[Pax]], 1, 0)</f>
        <v>1</v>
      </c>
      <c r="I241" s="16">
        <f t="shared" si="10"/>
        <v>1</v>
      </c>
      <c r="J241" s="17"/>
      <c r="K241" s="17">
        <f>IF(C241 &gt;= Table5[[#Totals],[Pax]], 1, 0)</f>
        <v>1</v>
      </c>
      <c r="L241" s="17">
        <f>IF(C241 &gt;= Table5[[#Totals],[Pax]], 1, 0)</f>
        <v>1</v>
      </c>
      <c r="M241" s="17">
        <f t="shared" si="11"/>
        <v>1</v>
      </c>
    </row>
    <row r="242" spans="1:13" x14ac:dyDescent="0.35">
      <c r="A242" s="7">
        <v>1</v>
      </c>
      <c r="B242" s="6">
        <v>2023</v>
      </c>
      <c r="C242" s="10">
        <v>67351033</v>
      </c>
      <c r="D242" s="10">
        <v>58284200</v>
      </c>
      <c r="E242" s="10">
        <v>9066833</v>
      </c>
      <c r="F242" s="7" t="str">
        <f t="shared" si="9"/>
        <v>Fall</v>
      </c>
      <c r="G242">
        <f>Table4[[#This Row],[High_Traffic]]</f>
        <v>1</v>
      </c>
      <c r="H242" s="12">
        <f>IF(C242 &gt;= Table4[[#Totals],[Pax]], 1, 0)</f>
        <v>1</v>
      </c>
      <c r="I242" s="13">
        <f t="shared" si="10"/>
        <v>1</v>
      </c>
      <c r="J242" s="14"/>
      <c r="K242" s="14">
        <f>IF(C242 &gt;= Table5[[#Totals],[Pax]], 1, 0)</f>
        <v>1</v>
      </c>
      <c r="L242" s="14">
        <f>IF(C242 &gt;= Table5[[#Totals],[Pax]], 1, 0)</f>
        <v>1</v>
      </c>
      <c r="M242" s="14">
        <f t="shared" si="11"/>
        <v>1</v>
      </c>
    </row>
    <row r="243" spans="1:13" x14ac:dyDescent="0.35">
      <c r="A243" s="9">
        <v>2</v>
      </c>
      <c r="B243" s="8">
        <v>2023</v>
      </c>
      <c r="C243" s="11">
        <v>64796891</v>
      </c>
      <c r="D243" s="11">
        <v>56729998</v>
      </c>
      <c r="E243" s="11">
        <v>8066893</v>
      </c>
      <c r="F243" s="9" t="str">
        <f t="shared" si="9"/>
        <v>Fall</v>
      </c>
      <c r="G243">
        <f>Table4[[#This Row],[High_Traffic]]</f>
        <v>1</v>
      </c>
      <c r="H243" s="15">
        <f>IF(C243 &gt;= Table4[[#Totals],[Pax]], 1, 0)</f>
        <v>1</v>
      </c>
      <c r="I243" s="16">
        <f t="shared" si="10"/>
        <v>1</v>
      </c>
      <c r="J243" s="17"/>
      <c r="K243" s="17">
        <f>IF(C243 &gt;= Table5[[#Totals],[Pax]], 1, 0)</f>
        <v>1</v>
      </c>
      <c r="L243" s="17">
        <f>IF(C243 &gt;= Table5[[#Totals],[Pax]], 1, 0)</f>
        <v>1</v>
      </c>
      <c r="M243" s="17">
        <f t="shared" si="11"/>
        <v>1</v>
      </c>
    </row>
    <row r="244" spans="1:13" x14ac:dyDescent="0.35">
      <c r="A244" s="7">
        <v>3</v>
      </c>
      <c r="B244" s="6">
        <v>2023</v>
      </c>
      <c r="C244" s="10">
        <v>79803140</v>
      </c>
      <c r="D244" s="10">
        <v>69708556</v>
      </c>
      <c r="E244" s="10">
        <v>10094584</v>
      </c>
      <c r="F244" s="7" t="str">
        <f t="shared" si="9"/>
        <v>Fall</v>
      </c>
      <c r="G244">
        <f>Table4[[#This Row],[High_Traffic]]</f>
        <v>1</v>
      </c>
      <c r="H244" s="12">
        <f>IF(C244 &gt;= Table4[[#Totals],[Pax]], 1, 0)</f>
        <v>1</v>
      </c>
      <c r="I244" s="13">
        <f t="shared" si="10"/>
        <v>1</v>
      </c>
      <c r="J244" s="14"/>
      <c r="K244" s="14">
        <f>IF(C244 &gt;= Table5[[#Totals],[Pax]], 1, 0)</f>
        <v>1</v>
      </c>
      <c r="L244" s="14">
        <f>IF(C244 &gt;= Table5[[#Totals],[Pax]], 1, 0)</f>
        <v>1</v>
      </c>
      <c r="M244" s="14">
        <f t="shared" si="11"/>
        <v>1</v>
      </c>
    </row>
    <row r="245" spans="1:13" x14ac:dyDescent="0.35">
      <c r="A245" s="9">
        <v>4</v>
      </c>
      <c r="B245" s="8">
        <v>2023</v>
      </c>
      <c r="C245" s="11">
        <v>77580219</v>
      </c>
      <c r="D245" s="11">
        <v>67571574</v>
      </c>
      <c r="E245" s="11">
        <v>10008645</v>
      </c>
      <c r="F245" s="9" t="str">
        <f t="shared" si="9"/>
        <v>Fall</v>
      </c>
      <c r="G245">
        <f>Table4[[#This Row],[High_Traffic]]</f>
        <v>1</v>
      </c>
      <c r="H245" s="15">
        <f>IF(C245 &gt;= Table4[[#Totals],[Pax]], 1, 0)</f>
        <v>1</v>
      </c>
      <c r="I245" s="16">
        <f t="shared" si="10"/>
        <v>1</v>
      </c>
      <c r="J245" s="17"/>
      <c r="K245" s="17">
        <f>IF(C245 &gt;= Table5[[#Totals],[Pax]], 1, 0)</f>
        <v>1</v>
      </c>
      <c r="L245" s="17">
        <f>IF(C245 &gt;= Table5[[#Totals],[Pax]], 1, 0)</f>
        <v>1</v>
      </c>
      <c r="M245" s="17">
        <f t="shared" si="11"/>
        <v>1</v>
      </c>
    </row>
    <row r="246" spans="1:13" x14ac:dyDescent="0.35">
      <c r="A246" s="7">
        <v>5</v>
      </c>
      <c r="B246" s="6">
        <v>2023</v>
      </c>
      <c r="C246" s="10">
        <v>81782319</v>
      </c>
      <c r="D246" s="10">
        <v>71423653</v>
      </c>
      <c r="E246" s="10">
        <v>10358666</v>
      </c>
      <c r="F246" s="7" t="str">
        <f t="shared" si="9"/>
        <v>Fall</v>
      </c>
      <c r="G246">
        <f>Table4[[#This Row],[High_Traffic]]</f>
        <v>1</v>
      </c>
      <c r="H246" s="12">
        <f>IF(C246 &gt;= Table4[[#Totals],[Pax]], 1, 0)</f>
        <v>1</v>
      </c>
      <c r="I246" s="13">
        <f t="shared" si="10"/>
        <v>1</v>
      </c>
      <c r="J246" s="14"/>
      <c r="K246" s="14">
        <f>IF(C246 &gt;= Table5[[#Totals],[Pax]], 1, 0)</f>
        <v>1</v>
      </c>
      <c r="L246" s="14">
        <f>IF(C246 &gt;= Table5[[#Totals],[Pax]], 1, 0)</f>
        <v>1</v>
      </c>
      <c r="M246" s="14">
        <f t="shared" si="11"/>
        <v>1</v>
      </c>
    </row>
    <row r="247" spans="1:13" x14ac:dyDescent="0.35">
      <c r="A247" s="9">
        <v>6</v>
      </c>
      <c r="B247" s="8">
        <v>2023</v>
      </c>
      <c r="C247" s="11">
        <v>84027126</v>
      </c>
      <c r="D247" s="11">
        <v>72482621</v>
      </c>
      <c r="E247" s="11">
        <v>11544505</v>
      </c>
      <c r="F247" s="9" t="str">
        <f t="shared" si="9"/>
        <v>Fall</v>
      </c>
      <c r="G247">
        <f>Table4[[#This Row],[High_Traffic]]</f>
        <v>1</v>
      </c>
      <c r="H247" s="15">
        <f>IF(C247 &gt;= Table4[[#Totals],[Pax]], 1, 0)</f>
        <v>1</v>
      </c>
      <c r="I247" s="16">
        <f t="shared" si="10"/>
        <v>1</v>
      </c>
      <c r="J247" s="17"/>
      <c r="K247" s="17">
        <f>IF(C247 &gt;= Table5[[#Totals],[Pax]], 1, 0)</f>
        <v>1</v>
      </c>
      <c r="L247" s="17">
        <f>IF(C247 &gt;= Table5[[#Totals],[Pax]], 1, 0)</f>
        <v>1</v>
      </c>
      <c r="M247" s="17">
        <f t="shared" si="11"/>
        <v>1</v>
      </c>
    </row>
    <row r="248" spans="1:13" x14ac:dyDescent="0.35">
      <c r="A248" s="7">
        <v>7</v>
      </c>
      <c r="B248" s="6">
        <v>2023</v>
      </c>
      <c r="C248" s="10">
        <v>87810772</v>
      </c>
      <c r="D248" s="10">
        <v>75378157</v>
      </c>
      <c r="E248" s="10">
        <v>12432615</v>
      </c>
      <c r="F248" s="7" t="str">
        <f t="shared" si="9"/>
        <v>Fall</v>
      </c>
      <c r="G248">
        <f>Table4[[#This Row],[High_Traffic]]</f>
        <v>1</v>
      </c>
      <c r="H248" s="12">
        <f>IF(C248 &gt;= Table4[[#Totals],[Pax]], 1, 0)</f>
        <v>1</v>
      </c>
      <c r="I248" s="13">
        <f t="shared" si="10"/>
        <v>1</v>
      </c>
      <c r="J248" s="14"/>
      <c r="K248" s="14">
        <f>IF(C248 &gt;= Table5[[#Totals],[Pax]], 1, 0)</f>
        <v>1</v>
      </c>
      <c r="L248" s="14">
        <f>IF(C248 &gt;= Table5[[#Totals],[Pax]], 1, 0)</f>
        <v>1</v>
      </c>
      <c r="M248" s="14">
        <f t="shared" si="11"/>
        <v>1</v>
      </c>
    </row>
    <row r="249" spans="1:13" x14ac:dyDescent="0.35">
      <c r="A249" s="9">
        <v>8</v>
      </c>
      <c r="B249" s="8">
        <v>2023</v>
      </c>
      <c r="C249" s="11">
        <v>83050137</v>
      </c>
      <c r="D249" s="11">
        <v>71477988</v>
      </c>
      <c r="E249" s="11">
        <v>11572149</v>
      </c>
      <c r="F249" s="9" t="str">
        <f t="shared" si="9"/>
        <v>Fall</v>
      </c>
      <c r="G249">
        <f>Table4[[#This Row],[High_Traffic]]</f>
        <v>1</v>
      </c>
      <c r="H249" s="15">
        <f>IF(C249 &gt;= Table4[[#Totals],[Pax]], 1, 0)</f>
        <v>1</v>
      </c>
      <c r="I249" s="16">
        <f t="shared" si="10"/>
        <v>1</v>
      </c>
      <c r="J249" s="17"/>
      <c r="K249" s="17">
        <f>IF(C249 &gt;= Table5[[#Totals],[Pax]], 1, 0)</f>
        <v>1</v>
      </c>
      <c r="L249" s="17">
        <f>IF(C249 &gt;= Table5[[#Totals],[Pax]], 1, 0)</f>
        <v>1</v>
      </c>
      <c r="M249" s="17">
        <f t="shared" si="11"/>
        <v>1</v>
      </c>
    </row>
    <row r="250" spans="1:13" x14ac:dyDescent="0.35">
      <c r="A250" s="13">
        <v>9</v>
      </c>
      <c r="B250" s="12">
        <v>2023</v>
      </c>
      <c r="C250" s="23">
        <v>76251475</v>
      </c>
      <c r="D250" s="23">
        <v>66858490</v>
      </c>
      <c r="E250" s="23">
        <v>9392985</v>
      </c>
      <c r="F250" s="13" t="str">
        <f t="shared" si="9"/>
        <v>Fall</v>
      </c>
      <c r="G250">
        <f>Table4[[#This Row],[High_Traffic]]</f>
        <v>1</v>
      </c>
      <c r="H250" s="12">
        <f>IF(C250 &gt;= Table4[[#Totals],[Pax]], 1, 0)</f>
        <v>1</v>
      </c>
      <c r="I250" s="13">
        <f t="shared" si="10"/>
        <v>1</v>
      </c>
      <c r="J250" s="14"/>
      <c r="K250" s="14">
        <f>IF(C250 &gt;= Table5[[#Totals],[Pax]], 1, 0)</f>
        <v>1</v>
      </c>
      <c r="L250" s="14">
        <f>IF(C250 &gt;= Table5[[#Totals],[Pax]], 1, 0)</f>
        <v>1</v>
      </c>
      <c r="M250" s="14">
        <f t="shared" si="11"/>
        <v>1</v>
      </c>
    </row>
    <row r="251" spans="1:13" x14ac:dyDescent="0.35">
      <c r="A251" s="13"/>
      <c r="B251" s="12"/>
      <c r="C251" s="1">
        <f>AVERAGE(C2:C250)</f>
        <v>62601919.349397592</v>
      </c>
      <c r="D251" s="23"/>
      <c r="E251" s="23"/>
      <c r="F251" s="13"/>
      <c r="G251" s="13"/>
      <c r="H251" s="12"/>
      <c r="I251" s="13">
        <f>AVERAGE(I2:I250)</f>
        <v>1</v>
      </c>
      <c r="J251" s="14"/>
      <c r="K251" s="14"/>
      <c r="L251" s="14">
        <f>AVERAGE(M2:M250)</f>
        <v>1</v>
      </c>
      <c r="M251" s="14"/>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6EFB0-E0C3-4C04-B5B2-6677BB8FAE19}">
  <dimension ref="A3:B16"/>
  <sheetViews>
    <sheetView topLeftCell="A2" zoomScaleNormal="100" workbookViewId="0">
      <selection activeCell="E20" sqref="E20"/>
    </sheetView>
  </sheetViews>
  <sheetFormatPr defaultRowHeight="14.5" x14ac:dyDescent="0.35"/>
  <cols>
    <col min="1" max="1" width="12.453125" bestFit="1" customWidth="1"/>
    <col min="2" max="2" width="12.7265625" bestFit="1" customWidth="1"/>
    <col min="3" max="12" width="15.6328125" bestFit="1" customWidth="1"/>
    <col min="13" max="13" width="10.36328125" bestFit="1" customWidth="1"/>
    <col min="14" max="14" width="14.453125" bestFit="1" customWidth="1"/>
  </cols>
  <sheetData>
    <row r="3" spans="1:2" x14ac:dyDescent="0.35">
      <c r="A3" s="3" t="s">
        <v>23</v>
      </c>
      <c r="B3" t="s">
        <v>24</v>
      </c>
    </row>
    <row r="4" spans="1:2" x14ac:dyDescent="0.35">
      <c r="A4" s="4">
        <v>1</v>
      </c>
      <c r="B4" s="1">
        <v>55842610.238095239</v>
      </c>
    </row>
    <row r="5" spans="1:2" x14ac:dyDescent="0.35">
      <c r="A5" s="4">
        <v>2</v>
      </c>
      <c r="B5" s="1">
        <v>53686859.142857142</v>
      </c>
    </row>
    <row r="6" spans="1:2" x14ac:dyDescent="0.35">
      <c r="A6" s="4">
        <v>3</v>
      </c>
      <c r="B6" s="1">
        <v>64958944.095238097</v>
      </c>
    </row>
    <row r="7" spans="1:2" x14ac:dyDescent="0.35">
      <c r="A7" s="4">
        <v>4</v>
      </c>
      <c r="B7" s="1">
        <v>60955339.904761903</v>
      </c>
    </row>
    <row r="8" spans="1:2" x14ac:dyDescent="0.35">
      <c r="A8" s="4">
        <v>5</v>
      </c>
      <c r="B8" s="1">
        <v>64255885.428571425</v>
      </c>
    </row>
    <row r="9" spans="1:2" x14ac:dyDescent="0.35">
      <c r="A9" s="4">
        <v>6</v>
      </c>
      <c r="B9" s="1">
        <v>67581831.476190478</v>
      </c>
    </row>
    <row r="10" spans="1:2" x14ac:dyDescent="0.35">
      <c r="A10" s="4">
        <v>7</v>
      </c>
      <c r="B10" s="1">
        <v>71194441.333333328</v>
      </c>
    </row>
    <row r="11" spans="1:2" x14ac:dyDescent="0.35">
      <c r="A11" s="4">
        <v>8</v>
      </c>
      <c r="B11" s="1">
        <v>68458020.285714284</v>
      </c>
    </row>
    <row r="12" spans="1:2" x14ac:dyDescent="0.35">
      <c r="A12" s="4">
        <v>9</v>
      </c>
      <c r="B12" s="1">
        <v>59057713.047619045</v>
      </c>
    </row>
    <row r="13" spans="1:2" x14ac:dyDescent="0.35">
      <c r="A13" s="4">
        <v>10</v>
      </c>
      <c r="B13" s="1">
        <v>63233488.149999999</v>
      </c>
    </row>
    <row r="14" spans="1:2" x14ac:dyDescent="0.35">
      <c r="A14" s="4">
        <v>11</v>
      </c>
      <c r="B14" s="1">
        <v>60100866.25</v>
      </c>
    </row>
    <row r="15" spans="1:2" x14ac:dyDescent="0.35">
      <c r="A15" s="4">
        <v>12</v>
      </c>
      <c r="B15" s="1">
        <v>61768314.299999997</v>
      </c>
    </row>
    <row r="16" spans="1:2" x14ac:dyDescent="0.35">
      <c r="A16" s="4" t="s">
        <v>22</v>
      </c>
      <c r="B16" s="1">
        <v>62601919.349397592</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708CC-B084-48AB-BD17-1BD9F4FFEA6D}">
  <dimension ref="A1:N22"/>
  <sheetViews>
    <sheetView workbookViewId="0">
      <pane ySplit="1" topLeftCell="A2" activePane="bottomLeft" state="frozen"/>
      <selection pane="bottomLeft" activeCell="M18" sqref="M18"/>
    </sheetView>
  </sheetViews>
  <sheetFormatPr defaultRowHeight="14.5" x14ac:dyDescent="0.35"/>
  <cols>
    <col min="1" max="1" width="27.453125" bestFit="1" customWidth="1"/>
    <col min="2" max="2" width="13.26953125" bestFit="1" customWidth="1"/>
    <col min="3" max="3" width="41" style="5" customWidth="1"/>
    <col min="4" max="4" width="17.7265625" hidden="1" customWidth="1"/>
    <col min="5" max="5" width="17.7265625" customWidth="1"/>
    <col min="6" max="6" width="40.08984375" bestFit="1" customWidth="1"/>
    <col min="7" max="7" width="8.54296875" bestFit="1" customWidth="1"/>
    <col min="8" max="8" width="10.7265625" bestFit="1" customWidth="1"/>
    <col min="9" max="9" width="94.453125" bestFit="1" customWidth="1"/>
    <col min="10" max="10" width="87.6328125" bestFit="1" customWidth="1"/>
    <col min="11" max="11" width="75.7265625" bestFit="1" customWidth="1"/>
  </cols>
  <sheetData>
    <row r="1" spans="1:14" x14ac:dyDescent="0.35">
      <c r="A1" t="s">
        <v>108</v>
      </c>
      <c r="B1" t="s">
        <v>109</v>
      </c>
      <c r="C1" s="5" t="s">
        <v>110</v>
      </c>
      <c r="D1" t="s">
        <v>111</v>
      </c>
      <c r="E1" t="s">
        <v>111</v>
      </c>
      <c r="F1" t="s">
        <v>112</v>
      </c>
      <c r="G1" t="s">
        <v>113</v>
      </c>
      <c r="H1" t="s">
        <v>114</v>
      </c>
      <c r="I1" t="s">
        <v>116</v>
      </c>
      <c r="J1" t="s">
        <v>117</v>
      </c>
      <c r="K1" t="s">
        <v>118</v>
      </c>
    </row>
    <row r="2" spans="1:14" ht="29" x14ac:dyDescent="0.35">
      <c r="A2" t="s">
        <v>26</v>
      </c>
      <c r="B2" t="s">
        <v>27</v>
      </c>
      <c r="C2" s="5" t="s">
        <v>28</v>
      </c>
      <c r="D2" t="s">
        <v>29</v>
      </c>
      <c r="E2" t="str">
        <f t="shared" ref="E2:E21" si="0">PROPER(TRIM(D2))</f>
        <v>Spring</v>
      </c>
      <c r="F2" t="s">
        <v>30</v>
      </c>
      <c r="G2" t="s">
        <v>31</v>
      </c>
      <c r="H2">
        <v>4.2</v>
      </c>
      <c r="I2" t="str">
        <f xml:space="preserve"> C2 &amp; " " &amp; F2</f>
        <v>Famous district in Los Angeles known as the entertainment capital of the world. Walk of Fame, Hollywood Sign</v>
      </c>
      <c r="J2" t="str">
        <f>LOWER(TRIM(SUBSTITUTE(SUBSTITUTE(SUBSTITUTE(SUBSTITUTE(I2, ",", ""), ".", ""), "'", ""), """", "")))</f>
        <v>famous district in los angeles known as the entertainment capital of the world walk of fame hollywood sign</v>
      </c>
      <c r="K2" t="s">
        <v>119</v>
      </c>
      <c r="M2" t="str">
        <f>_xlfn.TEXTJOIN(" ", TRUE, K2:K21)</f>
        <v>Column1 famous district los angeles known as entertainment capital world walk fame hollywood sign broadway theaters new year’s eve ball drop going-to-the-sun road grinnell glacier the narrows angels landing nantucket island cape cod national seashore cellhouse tour alcatraz lighthouse gettysburg museum battlefield tours ellis island liberty island museum old faithful grand prismatic spring bourbon street jackson square presidential trail lincoln borglum visitor center maid mist observation tower bethesda terrace central park zoo south rim bright angel trail magic kingdom epcot bridge walk vista point observation deck seattle center delicate arch landscape arch anhinga trail shark valley</v>
      </c>
      <c r="N2" s="5"/>
    </row>
    <row r="3" spans="1:14" ht="29" x14ac:dyDescent="0.35">
      <c r="A3" t="s">
        <v>32</v>
      </c>
      <c r="B3" t="s">
        <v>33</v>
      </c>
      <c r="C3" s="5" t="s">
        <v>34</v>
      </c>
      <c r="D3" t="s">
        <v>35</v>
      </c>
      <c r="E3" t="str">
        <f t="shared" si="0"/>
        <v>Winter</v>
      </c>
      <c r="F3" t="s">
        <v>115</v>
      </c>
      <c r="G3" t="s">
        <v>36</v>
      </c>
      <c r="H3">
        <v>4.3</v>
      </c>
      <c r="I3" t="str">
        <f t="shared" ref="I3:I21" si="1" xml:space="preserve"> C3 &amp; " " &amp; F3</f>
        <v>Bustling pedestrian intersection and major commercial hub. Broadway Theaters, New Year’s Eve Ball Drop</v>
      </c>
      <c r="J3" t="str">
        <f t="shared" ref="J3:J21" si="2">LOWER(TRIM(SUBSTITUTE(SUBSTITUTE(SUBSTITUTE(SUBSTITUTE(F3, ",", ""), ".", ""), "'", ""), """", "")))</f>
        <v>broadway theaters new year’s eve ball drop</v>
      </c>
      <c r="K3" t="str">
        <f t="shared" ref="K3:K22" si="3">TRIM(SUBSTITUTE(SUBSTITUTE(SUBSTITUTE(SUBSTITUTE(SUBSTITUTE(SUBSTITUTE(SUBSTITUTE(SUBSTITUTE(SUBSTITUTE(SUBSTITUTE(J2, " the ", " "), " and ", " "), " a ", " "), " in ", " "), " of ", " "), " to ", " "), " for ", " "), " with ", " "), " is ", " "), " on ", " "))</f>
        <v>famous district los angeles known as entertainment capital world walk fame hollywood sign</v>
      </c>
    </row>
    <row r="4" spans="1:14" ht="29" x14ac:dyDescent="0.35">
      <c r="A4" t="s">
        <v>37</v>
      </c>
      <c r="B4" t="s">
        <v>38</v>
      </c>
      <c r="C4" s="5" t="s">
        <v>39</v>
      </c>
      <c r="D4" t="s">
        <v>40</v>
      </c>
      <c r="E4" t="str">
        <f t="shared" si="0"/>
        <v>Summer</v>
      </c>
      <c r="F4" t="s">
        <v>41</v>
      </c>
      <c r="G4" t="s">
        <v>31</v>
      </c>
      <c r="H4">
        <v>4.8</v>
      </c>
      <c r="I4" t="str">
        <f t="shared" si="1"/>
        <v>Park known for its rugged mountains and alpine forests. Going-to-the-Sun Road, Grinnell Glacier</v>
      </c>
      <c r="J4" t="str">
        <f t="shared" si="2"/>
        <v>going-to-the-sun road grinnell glacier</v>
      </c>
      <c r="K4" t="str">
        <f t="shared" si="3"/>
        <v>broadway theaters new year’s eve ball drop</v>
      </c>
    </row>
    <row r="5" spans="1:14" ht="29" x14ac:dyDescent="0.35">
      <c r="A5" t="s">
        <v>42</v>
      </c>
      <c r="B5" t="s">
        <v>43</v>
      </c>
      <c r="C5" s="5" t="s">
        <v>44</v>
      </c>
      <c r="D5" t="s">
        <v>45</v>
      </c>
      <c r="E5" t="str">
        <f t="shared" si="0"/>
        <v>Spring, Fall</v>
      </c>
      <c r="F5" t="s">
        <v>46</v>
      </c>
      <c r="G5" t="s">
        <v>31</v>
      </c>
      <c r="H5">
        <v>4.7</v>
      </c>
      <c r="I5" t="str">
        <f t="shared" si="1"/>
        <v>Beautiful park known for its impressive canyons and towering cliffs. The Narrows, Angels Landing</v>
      </c>
      <c r="J5" t="str">
        <f t="shared" si="2"/>
        <v>the narrows angels landing</v>
      </c>
      <c r="K5" t="str">
        <f t="shared" si="3"/>
        <v>going-to-the-sun road grinnell glacier</v>
      </c>
    </row>
    <row r="6" spans="1:14" ht="29" x14ac:dyDescent="0.35">
      <c r="A6" t="s">
        <v>47</v>
      </c>
      <c r="B6" t="s">
        <v>48</v>
      </c>
      <c r="C6" s="5" t="s">
        <v>49</v>
      </c>
      <c r="D6" t="s">
        <v>40</v>
      </c>
      <c r="E6" t="str">
        <f t="shared" si="0"/>
        <v>Summer</v>
      </c>
      <c r="F6" t="s">
        <v>50</v>
      </c>
      <c r="G6" t="s">
        <v>31</v>
      </c>
      <c r="H6">
        <v>4.5</v>
      </c>
      <c r="I6" t="str">
        <f t="shared" si="1"/>
        <v>Popular tourist destination known for its beaches and quaint towns. Nantucket Island, Cape Cod National Seashore</v>
      </c>
      <c r="J6" t="str">
        <f t="shared" si="2"/>
        <v>nantucket island cape cod national seashore</v>
      </c>
      <c r="K6" t="str">
        <f t="shared" si="3"/>
        <v>the narrows angels landing</v>
      </c>
    </row>
    <row r="7" spans="1:14" ht="29" x14ac:dyDescent="0.35">
      <c r="A7" t="s">
        <v>51</v>
      </c>
      <c r="B7" t="s">
        <v>27</v>
      </c>
      <c r="C7" s="5" t="s">
        <v>52</v>
      </c>
      <c r="D7" t="s">
        <v>53</v>
      </c>
      <c r="E7" t="str">
        <f t="shared" si="0"/>
        <v>Spring, Summer</v>
      </c>
      <c r="F7" t="s">
        <v>54</v>
      </c>
      <c r="G7" t="s">
        <v>36</v>
      </c>
      <c r="H7">
        <v>4.4000000000000004</v>
      </c>
      <c r="I7" t="str">
        <f t="shared" si="1"/>
        <v>Famed former prison island located in San Francisco Bay. Cellhouse Tour, Alcatraz Lighthouse</v>
      </c>
      <c r="J7" t="str">
        <f t="shared" si="2"/>
        <v>cellhouse tour alcatraz lighthouse</v>
      </c>
      <c r="K7" t="str">
        <f t="shared" si="3"/>
        <v>nantucket island cape cod national seashore</v>
      </c>
    </row>
    <row r="8" spans="1:14" x14ac:dyDescent="0.35">
      <c r="A8" t="s">
        <v>55</v>
      </c>
      <c r="B8" t="s">
        <v>56</v>
      </c>
      <c r="C8" s="5" t="s">
        <v>57</v>
      </c>
      <c r="D8" t="s">
        <v>45</v>
      </c>
      <c r="E8" t="str">
        <f t="shared" si="0"/>
        <v>Spring, Fall</v>
      </c>
      <c r="F8" t="s">
        <v>58</v>
      </c>
      <c r="G8" t="s">
        <v>36</v>
      </c>
      <c r="H8">
        <v>4.5999999999999996</v>
      </c>
      <c r="I8" t="str">
        <f t="shared" si="1"/>
        <v>Historic site of a major Civil War battle. Gettysburg Museum, Battlefield Tours</v>
      </c>
      <c r="J8" t="str">
        <f t="shared" si="2"/>
        <v>gettysburg museum battlefield tours</v>
      </c>
      <c r="K8" t="str">
        <f t="shared" si="3"/>
        <v>cellhouse tour alcatraz lighthouse</v>
      </c>
    </row>
    <row r="9" spans="1:14" ht="29" x14ac:dyDescent="0.35">
      <c r="A9" t="s">
        <v>59</v>
      </c>
      <c r="B9" t="s">
        <v>33</v>
      </c>
      <c r="C9" s="5" t="s">
        <v>60</v>
      </c>
      <c r="D9" t="s">
        <v>45</v>
      </c>
      <c r="E9" t="str">
        <f t="shared" si="0"/>
        <v>Spring, Fall</v>
      </c>
      <c r="F9" t="s">
        <v>61</v>
      </c>
      <c r="G9" t="s">
        <v>36</v>
      </c>
      <c r="H9">
        <v>4.5</v>
      </c>
      <c r="I9" t="str">
        <f t="shared" si="1"/>
        <v>Iconic symbol of freedom and democracy in the United States. Ellis Island, Liberty Island Museum</v>
      </c>
      <c r="J9" t="str">
        <f t="shared" si="2"/>
        <v>ellis island liberty island museum</v>
      </c>
      <c r="K9" t="str">
        <f t="shared" si="3"/>
        <v>gettysburg museum battlefield tours</v>
      </c>
    </row>
    <row r="10" spans="1:14" ht="29" x14ac:dyDescent="0.35">
      <c r="A10" t="s">
        <v>62</v>
      </c>
      <c r="B10" t="s">
        <v>63</v>
      </c>
      <c r="C10" s="5" t="s">
        <v>64</v>
      </c>
      <c r="D10" t="s">
        <v>40</v>
      </c>
      <c r="E10" t="str">
        <f t="shared" si="0"/>
        <v>Summer</v>
      </c>
      <c r="F10" t="s">
        <v>65</v>
      </c>
      <c r="G10" t="s">
        <v>31</v>
      </c>
      <c r="H10">
        <v>4.9000000000000004</v>
      </c>
      <c r="I10" t="str">
        <f t="shared" si="1"/>
        <v>First national park in the world, known for geysers and wildlife. Old Faithful, Grand Prismatic Spring</v>
      </c>
      <c r="J10" t="str">
        <f t="shared" si="2"/>
        <v>old faithful grand prismatic spring</v>
      </c>
      <c r="K10" t="str">
        <f t="shared" si="3"/>
        <v>ellis island liberty island museum</v>
      </c>
    </row>
    <row r="11" spans="1:14" ht="29" x14ac:dyDescent="0.35">
      <c r="A11" t="s">
        <v>66</v>
      </c>
      <c r="B11" t="s">
        <v>67</v>
      </c>
      <c r="C11" s="5" t="s">
        <v>68</v>
      </c>
      <c r="D11" t="s">
        <v>29</v>
      </c>
      <c r="E11" t="str">
        <f t="shared" si="0"/>
        <v>Spring</v>
      </c>
      <c r="F11" t="s">
        <v>69</v>
      </c>
      <c r="G11" t="s">
        <v>36</v>
      </c>
      <c r="H11">
        <v>4.3</v>
      </c>
      <c r="I11" t="str">
        <f t="shared" si="1"/>
        <v>Historic district known for vibrant nightlife and colorful buildings. Bourbon Street, Jackson Square</v>
      </c>
      <c r="J11" t="str">
        <f t="shared" si="2"/>
        <v>bourbon street jackson square</v>
      </c>
      <c r="K11" t="str">
        <f t="shared" si="3"/>
        <v>old faithful grand prismatic spring</v>
      </c>
    </row>
    <row r="12" spans="1:14" ht="29" x14ac:dyDescent="0.35">
      <c r="A12" t="s">
        <v>70</v>
      </c>
      <c r="B12" t="s">
        <v>71</v>
      </c>
      <c r="C12" s="5" t="s">
        <v>72</v>
      </c>
      <c r="D12" t="s">
        <v>40</v>
      </c>
      <c r="E12" t="str">
        <f t="shared" si="0"/>
        <v>Summer</v>
      </c>
      <c r="F12" t="s">
        <v>73</v>
      </c>
      <c r="G12" t="s">
        <v>36</v>
      </c>
      <c r="H12">
        <v>4.4000000000000004</v>
      </c>
      <c r="I12" t="str">
        <f t="shared" si="1"/>
        <v>Monument featuring sculptures of four U.S. presidents. Presidential Trail, Lincoln Borglum Visitor Center</v>
      </c>
      <c r="J12" t="str">
        <f t="shared" si="2"/>
        <v>presidential trail lincoln borglum visitor center</v>
      </c>
      <c r="K12" t="str">
        <f t="shared" si="3"/>
        <v>bourbon street jackson square</v>
      </c>
    </row>
    <row r="13" spans="1:14" x14ac:dyDescent="0.35">
      <c r="A13" t="s">
        <v>74</v>
      </c>
      <c r="B13" t="s">
        <v>33</v>
      </c>
      <c r="C13" s="5" t="s">
        <v>75</v>
      </c>
      <c r="D13" t="s">
        <v>76</v>
      </c>
      <c r="E13" t="str">
        <f t="shared" si="0"/>
        <v>Summer, Fall</v>
      </c>
      <c r="F13" t="s">
        <v>77</v>
      </c>
      <c r="G13" t="s">
        <v>31</v>
      </c>
      <c r="H13">
        <v>4.7</v>
      </c>
      <c r="I13" t="str">
        <f t="shared" si="1"/>
        <v>Famous waterfalls on the U.S.-Canada border. Maid of the Mist, Observation Tower</v>
      </c>
      <c r="J13" t="str">
        <f t="shared" si="2"/>
        <v>maid of the mist observation tower</v>
      </c>
      <c r="K13" t="str">
        <f t="shared" si="3"/>
        <v>presidential trail lincoln borglum visitor center</v>
      </c>
    </row>
    <row r="14" spans="1:14" x14ac:dyDescent="0.35">
      <c r="A14" t="s">
        <v>78</v>
      </c>
      <c r="B14" t="s">
        <v>33</v>
      </c>
      <c r="C14" s="5" t="s">
        <v>79</v>
      </c>
      <c r="D14" t="s">
        <v>80</v>
      </c>
      <c r="E14" t="str">
        <f t="shared" si="0"/>
        <v>Fall</v>
      </c>
      <c r="F14" t="s">
        <v>81</v>
      </c>
      <c r="G14" t="s">
        <v>36</v>
      </c>
      <c r="H14">
        <v>4.5999999999999996</v>
      </c>
      <c r="I14" t="str">
        <f t="shared" si="1"/>
        <v>Urban park in the heart of Manhattan. Bethesda Terrace, Central Park Zoo</v>
      </c>
      <c r="J14" t="str">
        <f t="shared" si="2"/>
        <v>bethesda terrace central park zoo</v>
      </c>
      <c r="K14" t="str">
        <f t="shared" si="3"/>
        <v>maid mist observation tower</v>
      </c>
    </row>
    <row r="15" spans="1:14" x14ac:dyDescent="0.35">
      <c r="A15" t="s">
        <v>82</v>
      </c>
      <c r="B15" t="s">
        <v>83</v>
      </c>
      <c r="C15" s="5" t="s">
        <v>84</v>
      </c>
      <c r="D15" t="s">
        <v>45</v>
      </c>
      <c r="E15" t="str">
        <f t="shared" si="0"/>
        <v>Spring, Fall</v>
      </c>
      <c r="F15" t="s">
        <v>85</v>
      </c>
      <c r="G15" t="s">
        <v>31</v>
      </c>
      <c r="H15">
        <v>4.9000000000000004</v>
      </c>
      <c r="I15" t="str">
        <f t="shared" si="1"/>
        <v>Massive canyon carved by the Colorado River. South Rim, Bright Angel Trail</v>
      </c>
      <c r="J15" t="str">
        <f t="shared" si="2"/>
        <v>south rim bright angel trail</v>
      </c>
      <c r="K15" t="str">
        <f t="shared" si="3"/>
        <v>bethesda terrace central park zoo</v>
      </c>
    </row>
    <row r="16" spans="1:14" x14ac:dyDescent="0.35">
      <c r="A16" t="s">
        <v>86</v>
      </c>
      <c r="B16" t="s">
        <v>87</v>
      </c>
      <c r="C16" s="5" t="s">
        <v>88</v>
      </c>
      <c r="D16" t="s">
        <v>35</v>
      </c>
      <c r="E16" t="str">
        <f t="shared" si="0"/>
        <v>Winter</v>
      </c>
      <c r="F16" t="s">
        <v>89</v>
      </c>
      <c r="G16" t="s">
        <v>90</v>
      </c>
      <c r="H16">
        <v>4.8</v>
      </c>
      <c r="I16" t="str">
        <f t="shared" si="1"/>
        <v>World-famous theme park and resort complex. Magic Kingdom, EPCOT</v>
      </c>
      <c r="J16" t="str">
        <f t="shared" si="2"/>
        <v>magic kingdom epcot</v>
      </c>
      <c r="K16" t="str">
        <f t="shared" si="3"/>
        <v>south rim bright angel trail</v>
      </c>
    </row>
    <row r="17" spans="1:11" x14ac:dyDescent="0.35">
      <c r="A17" t="s">
        <v>91</v>
      </c>
      <c r="B17" t="s">
        <v>27</v>
      </c>
      <c r="C17" s="5" t="s">
        <v>92</v>
      </c>
      <c r="D17" t="s">
        <v>80</v>
      </c>
      <c r="E17" t="str">
        <f t="shared" si="0"/>
        <v>Fall</v>
      </c>
      <c r="F17" t="s">
        <v>93</v>
      </c>
      <c r="G17" t="s">
        <v>36</v>
      </c>
      <c r="H17">
        <v>4.7</v>
      </c>
      <c r="I17" t="str">
        <f t="shared" si="1"/>
        <v>Iconic suspension bridge in San Francisco. Bridge Walk, Vista Point</v>
      </c>
      <c r="J17" t="str">
        <f t="shared" si="2"/>
        <v>bridge walk vista point</v>
      </c>
      <c r="K17" t="str">
        <f t="shared" si="3"/>
        <v>magic kingdom epcot</v>
      </c>
    </row>
    <row r="18" spans="1:11" ht="29" x14ac:dyDescent="0.35">
      <c r="A18" t="s">
        <v>94</v>
      </c>
      <c r="B18" t="s">
        <v>95</v>
      </c>
      <c r="C18" s="5" t="s">
        <v>96</v>
      </c>
      <c r="D18" t="s">
        <v>40</v>
      </c>
      <c r="E18" t="str">
        <f t="shared" si="0"/>
        <v>Summer</v>
      </c>
      <c r="F18" t="s">
        <v>97</v>
      </c>
      <c r="G18" t="s">
        <v>31</v>
      </c>
      <c r="H18">
        <v>4.5</v>
      </c>
      <c r="I18" t="str">
        <f t="shared" si="1"/>
        <v>Observation tower offering panoramic views of Seattle. Observation Deck, Seattle Center</v>
      </c>
      <c r="J18" t="str">
        <f t="shared" si="2"/>
        <v>observation deck seattle center</v>
      </c>
      <c r="K18" t="str">
        <f t="shared" si="3"/>
        <v>bridge walk vista point</v>
      </c>
    </row>
    <row r="19" spans="1:11" x14ac:dyDescent="0.35">
      <c r="A19" t="s">
        <v>98</v>
      </c>
      <c r="B19" t="s">
        <v>43</v>
      </c>
      <c r="C19" s="5" t="s">
        <v>99</v>
      </c>
      <c r="D19" t="s">
        <v>29</v>
      </c>
      <c r="E19" t="str">
        <f t="shared" si="0"/>
        <v>Spring</v>
      </c>
      <c r="F19" t="s">
        <v>100</v>
      </c>
      <c r="G19" t="s">
        <v>31</v>
      </c>
      <c r="H19">
        <v>4.5999999999999996</v>
      </c>
      <c r="I19" t="str">
        <f t="shared" si="1"/>
        <v>Park known for natural sandstone arches. Delicate Arch, Landscape Arch</v>
      </c>
      <c r="J19" t="str">
        <f t="shared" si="2"/>
        <v>delicate arch landscape arch</v>
      </c>
      <c r="K19" t="str">
        <f t="shared" si="3"/>
        <v>observation deck seattle center</v>
      </c>
    </row>
    <row r="20" spans="1:11" ht="29" x14ac:dyDescent="0.35">
      <c r="A20" t="s">
        <v>101</v>
      </c>
      <c r="B20" t="s">
        <v>87</v>
      </c>
      <c r="C20" s="5" t="s">
        <v>102</v>
      </c>
      <c r="D20" t="s">
        <v>35</v>
      </c>
      <c r="E20" t="str">
        <f t="shared" si="0"/>
        <v>Winter</v>
      </c>
      <c r="F20" t="s">
        <v>103</v>
      </c>
      <c r="G20" t="s">
        <v>36</v>
      </c>
      <c r="H20">
        <v>4.3</v>
      </c>
      <c r="I20" t="str">
        <f xml:space="preserve"> C20 &amp; " " &amp; F20</f>
        <v>Vast wetlands with unique wildlife and ecosystems. Anhinga Trail, Shark Valley</v>
      </c>
      <c r="J20" t="str">
        <f t="shared" si="2"/>
        <v>anhinga trail shark valley</v>
      </c>
      <c r="K20" t="str">
        <f t="shared" si="3"/>
        <v>delicate arch landscape arch</v>
      </c>
    </row>
    <row r="21" spans="1:11" ht="29" x14ac:dyDescent="0.35">
      <c r="A21" t="s">
        <v>104</v>
      </c>
      <c r="B21" t="s">
        <v>27</v>
      </c>
      <c r="C21" s="5" t="s">
        <v>105</v>
      </c>
      <c r="D21" t="s">
        <v>106</v>
      </c>
      <c r="E21" t="str">
        <f t="shared" si="0"/>
        <v>Winter, Summer</v>
      </c>
      <c r="F21" t="s">
        <v>107</v>
      </c>
      <c r="G21" t="s">
        <v>31</v>
      </c>
      <c r="H21">
        <v>4.5999999999999996</v>
      </c>
      <c r="I21" t="str">
        <f t="shared" si="1"/>
        <v>Large freshwater lake in the Sierra Nevada Mountains. Emerald Bay, Ski Resorts</v>
      </c>
      <c r="J21" t="str">
        <f t="shared" si="2"/>
        <v>emerald bay ski resorts</v>
      </c>
      <c r="K21" t="str">
        <f t="shared" si="3"/>
        <v>anhinga trail shark valley</v>
      </c>
    </row>
    <row r="22" spans="1:11" x14ac:dyDescent="0.35">
      <c r="K22" t="str">
        <f t="shared" si="3"/>
        <v>emerald bay ski resorts</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74F55-5745-4F85-A6E8-071651D38FAD}">
  <dimension ref="A3:B90"/>
  <sheetViews>
    <sheetView topLeftCell="A2" zoomScale="77" workbookViewId="0">
      <selection activeCell="K27" sqref="K27"/>
    </sheetView>
  </sheetViews>
  <sheetFormatPr defaultRowHeight="14.5" x14ac:dyDescent="0.35"/>
  <cols>
    <col min="1" max="1" width="14.7265625" bestFit="1" customWidth="1"/>
    <col min="2" max="2" width="16.36328125" bestFit="1" customWidth="1"/>
  </cols>
  <sheetData>
    <row r="3" spans="1:2" x14ac:dyDescent="0.35">
      <c r="A3" s="3" t="s">
        <v>23</v>
      </c>
      <c r="B3" t="s">
        <v>206</v>
      </c>
    </row>
    <row r="4" spans="1:2" x14ac:dyDescent="0.35">
      <c r="A4" s="4" t="s">
        <v>149</v>
      </c>
      <c r="B4">
        <v>3</v>
      </c>
    </row>
    <row r="5" spans="1:2" x14ac:dyDescent="0.35">
      <c r="A5" s="4" t="s">
        <v>174</v>
      </c>
      <c r="B5">
        <v>3</v>
      </c>
    </row>
    <row r="6" spans="1:2" x14ac:dyDescent="0.35">
      <c r="A6" s="4" t="s">
        <v>181</v>
      </c>
      <c r="B6">
        <v>2</v>
      </c>
    </row>
    <row r="7" spans="1:2" x14ac:dyDescent="0.35">
      <c r="A7" s="4" t="s">
        <v>159</v>
      </c>
      <c r="B7">
        <v>2</v>
      </c>
    </row>
    <row r="8" spans="1:2" x14ac:dyDescent="0.35">
      <c r="A8" s="4" t="s">
        <v>201</v>
      </c>
      <c r="B8">
        <v>2</v>
      </c>
    </row>
    <row r="9" spans="1:2" x14ac:dyDescent="0.35">
      <c r="A9" s="4" t="s">
        <v>178</v>
      </c>
      <c r="B9">
        <v>2</v>
      </c>
    </row>
    <row r="10" spans="1:2" x14ac:dyDescent="0.35">
      <c r="A10" s="4" t="s">
        <v>129</v>
      </c>
      <c r="B10">
        <v>2</v>
      </c>
    </row>
    <row r="11" spans="1:2" x14ac:dyDescent="0.35">
      <c r="A11" s="4" t="s">
        <v>172</v>
      </c>
      <c r="B11">
        <v>1</v>
      </c>
    </row>
    <row r="12" spans="1:2" x14ac:dyDescent="0.35">
      <c r="A12" s="4" t="s">
        <v>152</v>
      </c>
      <c r="B12">
        <v>1</v>
      </c>
    </row>
    <row r="13" spans="1:2" x14ac:dyDescent="0.35">
      <c r="A13" s="4" t="s">
        <v>175</v>
      </c>
      <c r="B13">
        <v>1</v>
      </c>
    </row>
    <row r="14" spans="1:2" x14ac:dyDescent="0.35">
      <c r="A14" s="4" t="s">
        <v>160</v>
      </c>
      <c r="B14">
        <v>1</v>
      </c>
    </row>
    <row r="15" spans="1:2" x14ac:dyDescent="0.35">
      <c r="A15" s="4" t="s">
        <v>189</v>
      </c>
      <c r="B15">
        <v>1</v>
      </c>
    </row>
    <row r="16" spans="1:2" x14ac:dyDescent="0.35">
      <c r="A16" s="4" t="s">
        <v>183</v>
      </c>
      <c r="B16">
        <v>1</v>
      </c>
    </row>
    <row r="17" spans="1:2" x14ac:dyDescent="0.35">
      <c r="A17" s="4" t="s">
        <v>125</v>
      </c>
      <c r="B17">
        <v>1</v>
      </c>
    </row>
    <row r="18" spans="1:2" x14ac:dyDescent="0.35">
      <c r="A18" s="4" t="s">
        <v>176</v>
      </c>
      <c r="B18">
        <v>1</v>
      </c>
    </row>
    <row r="19" spans="1:2" x14ac:dyDescent="0.35">
      <c r="A19" s="4" t="s">
        <v>180</v>
      </c>
      <c r="B19">
        <v>1</v>
      </c>
    </row>
    <row r="20" spans="1:2" x14ac:dyDescent="0.35">
      <c r="A20" s="4" t="s">
        <v>169</v>
      </c>
      <c r="B20">
        <v>1</v>
      </c>
    </row>
    <row r="21" spans="1:2" x14ac:dyDescent="0.35">
      <c r="A21" s="4" t="s">
        <v>186</v>
      </c>
      <c r="B21">
        <v>1</v>
      </c>
    </row>
    <row r="22" spans="1:2" x14ac:dyDescent="0.35">
      <c r="A22" s="4" t="s">
        <v>195</v>
      </c>
      <c r="B22">
        <v>1</v>
      </c>
    </row>
    <row r="23" spans="1:2" x14ac:dyDescent="0.35">
      <c r="A23" s="4" t="s">
        <v>204</v>
      </c>
      <c r="B23">
        <v>1</v>
      </c>
    </row>
    <row r="24" spans="1:2" x14ac:dyDescent="0.35">
      <c r="A24" s="4" t="s">
        <v>190</v>
      </c>
      <c r="B24">
        <v>1</v>
      </c>
    </row>
    <row r="25" spans="1:2" x14ac:dyDescent="0.35">
      <c r="A25" s="4" t="s">
        <v>134</v>
      </c>
      <c r="B25">
        <v>1</v>
      </c>
    </row>
    <row r="26" spans="1:2" x14ac:dyDescent="0.35">
      <c r="A26" s="4" t="s">
        <v>133</v>
      </c>
      <c r="B26">
        <v>1</v>
      </c>
    </row>
    <row r="27" spans="1:2" x14ac:dyDescent="0.35">
      <c r="A27" s="4" t="s">
        <v>163</v>
      </c>
      <c r="B27">
        <v>1</v>
      </c>
    </row>
    <row r="28" spans="1:2" x14ac:dyDescent="0.35">
      <c r="A28" s="4" t="s">
        <v>150</v>
      </c>
      <c r="B28">
        <v>1</v>
      </c>
    </row>
    <row r="29" spans="1:2" x14ac:dyDescent="0.35">
      <c r="A29" s="4" t="s">
        <v>192</v>
      </c>
      <c r="B29">
        <v>1</v>
      </c>
    </row>
    <row r="30" spans="1:2" x14ac:dyDescent="0.35">
      <c r="A30" s="4" t="s">
        <v>127</v>
      </c>
      <c r="B30">
        <v>1</v>
      </c>
    </row>
    <row r="31" spans="1:2" x14ac:dyDescent="0.35">
      <c r="A31" s="4" t="s">
        <v>148</v>
      </c>
      <c r="B31">
        <v>1</v>
      </c>
    </row>
    <row r="32" spans="1:2" x14ac:dyDescent="0.35">
      <c r="A32" s="4" t="s">
        <v>154</v>
      </c>
      <c r="B32">
        <v>1</v>
      </c>
    </row>
    <row r="33" spans="1:2" x14ac:dyDescent="0.35">
      <c r="A33" s="4" t="s">
        <v>191</v>
      </c>
      <c r="B33">
        <v>1</v>
      </c>
    </row>
    <row r="34" spans="1:2" x14ac:dyDescent="0.35">
      <c r="A34" s="4" t="s">
        <v>123</v>
      </c>
      <c r="B34">
        <v>1</v>
      </c>
    </row>
    <row r="35" spans="1:2" x14ac:dyDescent="0.35">
      <c r="A35" s="4" t="s">
        <v>173</v>
      </c>
      <c r="B35">
        <v>1</v>
      </c>
    </row>
    <row r="36" spans="1:2" x14ac:dyDescent="0.35">
      <c r="A36" s="4" t="s">
        <v>185</v>
      </c>
      <c r="B36">
        <v>1</v>
      </c>
    </row>
    <row r="37" spans="1:2" x14ac:dyDescent="0.35">
      <c r="A37" s="4" t="s">
        <v>153</v>
      </c>
      <c r="B37">
        <v>1</v>
      </c>
    </row>
    <row r="38" spans="1:2" x14ac:dyDescent="0.35">
      <c r="A38" s="4" t="s">
        <v>151</v>
      </c>
      <c r="B38">
        <v>1</v>
      </c>
    </row>
    <row r="39" spans="1:2" x14ac:dyDescent="0.35">
      <c r="A39" s="4" t="s">
        <v>188</v>
      </c>
      <c r="B39">
        <v>1</v>
      </c>
    </row>
    <row r="40" spans="1:2" x14ac:dyDescent="0.35">
      <c r="A40" s="4" t="s">
        <v>198</v>
      </c>
      <c r="B40">
        <v>1</v>
      </c>
    </row>
    <row r="41" spans="1:2" x14ac:dyDescent="0.35">
      <c r="A41" s="4" t="s">
        <v>184</v>
      </c>
      <c r="B41">
        <v>1</v>
      </c>
    </row>
    <row r="42" spans="1:2" x14ac:dyDescent="0.35">
      <c r="A42" s="4" t="s">
        <v>200</v>
      </c>
      <c r="B42">
        <v>1</v>
      </c>
    </row>
    <row r="43" spans="1:2" x14ac:dyDescent="0.35">
      <c r="A43" s="4" t="s">
        <v>161</v>
      </c>
      <c r="B43">
        <v>1</v>
      </c>
    </row>
    <row r="44" spans="1:2" x14ac:dyDescent="0.35">
      <c r="A44" s="4" t="s">
        <v>121</v>
      </c>
      <c r="B44">
        <v>1</v>
      </c>
    </row>
    <row r="45" spans="1:2" x14ac:dyDescent="0.35">
      <c r="A45" s="4" t="s">
        <v>177</v>
      </c>
      <c r="B45">
        <v>1</v>
      </c>
    </row>
    <row r="46" spans="1:2" x14ac:dyDescent="0.35">
      <c r="A46" s="4" t="s">
        <v>139</v>
      </c>
      <c r="B46">
        <v>1</v>
      </c>
    </row>
    <row r="47" spans="1:2" x14ac:dyDescent="0.35">
      <c r="A47" s="4" t="s">
        <v>157</v>
      </c>
      <c r="B47">
        <v>1</v>
      </c>
    </row>
    <row r="48" spans="1:2" x14ac:dyDescent="0.35">
      <c r="A48" s="4" t="s">
        <v>162</v>
      </c>
      <c r="B48">
        <v>1</v>
      </c>
    </row>
    <row r="49" spans="1:2" x14ac:dyDescent="0.35">
      <c r="A49" s="4" t="s">
        <v>122</v>
      </c>
      <c r="B49">
        <v>1</v>
      </c>
    </row>
    <row r="50" spans="1:2" x14ac:dyDescent="0.35">
      <c r="A50" s="4" t="s">
        <v>126</v>
      </c>
      <c r="B50">
        <v>1</v>
      </c>
    </row>
    <row r="51" spans="1:2" x14ac:dyDescent="0.35">
      <c r="A51" s="4" t="s">
        <v>179</v>
      </c>
      <c r="B51">
        <v>1</v>
      </c>
    </row>
    <row r="52" spans="1:2" x14ac:dyDescent="0.35">
      <c r="A52" s="4" t="s">
        <v>194</v>
      </c>
      <c r="B52">
        <v>1</v>
      </c>
    </row>
    <row r="53" spans="1:2" x14ac:dyDescent="0.35">
      <c r="A53" s="4" t="s">
        <v>203</v>
      </c>
      <c r="B53">
        <v>1</v>
      </c>
    </row>
    <row r="54" spans="1:2" x14ac:dyDescent="0.35">
      <c r="A54" s="4" t="s">
        <v>137</v>
      </c>
      <c r="B54">
        <v>1</v>
      </c>
    </row>
    <row r="55" spans="1:2" x14ac:dyDescent="0.35">
      <c r="A55" s="4" t="s">
        <v>145</v>
      </c>
      <c r="B55">
        <v>1</v>
      </c>
    </row>
    <row r="56" spans="1:2" x14ac:dyDescent="0.35">
      <c r="A56" s="4" t="s">
        <v>165</v>
      </c>
      <c r="B56">
        <v>1</v>
      </c>
    </row>
    <row r="57" spans="1:2" x14ac:dyDescent="0.35">
      <c r="A57" s="4" t="s">
        <v>135</v>
      </c>
      <c r="B57">
        <v>1</v>
      </c>
    </row>
    <row r="58" spans="1:2" x14ac:dyDescent="0.35">
      <c r="A58" s="4" t="s">
        <v>130</v>
      </c>
      <c r="B58">
        <v>1</v>
      </c>
    </row>
    <row r="59" spans="1:2" x14ac:dyDescent="0.35">
      <c r="A59" s="4" t="s">
        <v>164</v>
      </c>
      <c r="B59">
        <v>1</v>
      </c>
    </row>
    <row r="60" spans="1:2" x14ac:dyDescent="0.35">
      <c r="A60" s="4" t="s">
        <v>120</v>
      </c>
      <c r="B60">
        <v>1</v>
      </c>
    </row>
    <row r="61" spans="1:2" x14ac:dyDescent="0.35">
      <c r="A61" s="4" t="s">
        <v>197</v>
      </c>
      <c r="B61">
        <v>1</v>
      </c>
    </row>
    <row r="62" spans="1:2" x14ac:dyDescent="0.35">
      <c r="A62" s="4" t="s">
        <v>158</v>
      </c>
      <c r="B62">
        <v>1</v>
      </c>
    </row>
    <row r="63" spans="1:2" x14ac:dyDescent="0.35">
      <c r="A63" s="4" t="s">
        <v>167</v>
      </c>
      <c r="B63">
        <v>1</v>
      </c>
    </row>
    <row r="64" spans="1:2" x14ac:dyDescent="0.35">
      <c r="A64" s="4" t="s">
        <v>143</v>
      </c>
      <c r="B64">
        <v>1</v>
      </c>
    </row>
    <row r="65" spans="1:2" x14ac:dyDescent="0.35">
      <c r="A65" s="4" t="s">
        <v>141</v>
      </c>
      <c r="B65">
        <v>1</v>
      </c>
    </row>
    <row r="66" spans="1:2" x14ac:dyDescent="0.35">
      <c r="A66" s="4" t="s">
        <v>140</v>
      </c>
      <c r="B66">
        <v>1</v>
      </c>
    </row>
    <row r="67" spans="1:2" x14ac:dyDescent="0.35">
      <c r="A67" s="4" t="s">
        <v>199</v>
      </c>
      <c r="B67">
        <v>1</v>
      </c>
    </row>
    <row r="68" spans="1:2" x14ac:dyDescent="0.35">
      <c r="A68" s="4" t="s">
        <v>166</v>
      </c>
      <c r="B68">
        <v>1</v>
      </c>
    </row>
    <row r="69" spans="1:2" x14ac:dyDescent="0.35">
      <c r="A69" s="4" t="s">
        <v>132</v>
      </c>
      <c r="B69">
        <v>1</v>
      </c>
    </row>
    <row r="70" spans="1:2" x14ac:dyDescent="0.35">
      <c r="A70" s="4" t="s">
        <v>142</v>
      </c>
      <c r="B70">
        <v>1</v>
      </c>
    </row>
    <row r="71" spans="1:2" x14ac:dyDescent="0.35">
      <c r="A71" s="4" t="s">
        <v>168</v>
      </c>
      <c r="B71">
        <v>1</v>
      </c>
    </row>
    <row r="72" spans="1:2" x14ac:dyDescent="0.35">
      <c r="A72" s="4" t="s">
        <v>131</v>
      </c>
      <c r="B72">
        <v>1</v>
      </c>
    </row>
    <row r="73" spans="1:2" x14ac:dyDescent="0.35">
      <c r="A73" s="4" t="s">
        <v>170</v>
      </c>
      <c r="B73">
        <v>1</v>
      </c>
    </row>
    <row r="74" spans="1:2" x14ac:dyDescent="0.35">
      <c r="A74" s="4" t="s">
        <v>146</v>
      </c>
      <c r="B74">
        <v>1</v>
      </c>
    </row>
    <row r="75" spans="1:2" x14ac:dyDescent="0.35">
      <c r="A75" s="4" t="s">
        <v>144</v>
      </c>
      <c r="B75">
        <v>1</v>
      </c>
    </row>
    <row r="76" spans="1:2" x14ac:dyDescent="0.35">
      <c r="A76" s="4" t="s">
        <v>171</v>
      </c>
      <c r="B76">
        <v>1</v>
      </c>
    </row>
    <row r="77" spans="1:2" x14ac:dyDescent="0.35">
      <c r="A77" s="4" t="s">
        <v>155</v>
      </c>
      <c r="B77">
        <v>1</v>
      </c>
    </row>
    <row r="78" spans="1:2" x14ac:dyDescent="0.35">
      <c r="A78" s="4" t="s">
        <v>196</v>
      </c>
      <c r="B78">
        <v>1</v>
      </c>
    </row>
    <row r="79" spans="1:2" x14ac:dyDescent="0.35">
      <c r="A79" s="4" t="s">
        <v>182</v>
      </c>
      <c r="B79">
        <v>1</v>
      </c>
    </row>
    <row r="80" spans="1:2" x14ac:dyDescent="0.35">
      <c r="A80" s="4" t="s">
        <v>128</v>
      </c>
      <c r="B80">
        <v>1</v>
      </c>
    </row>
    <row r="81" spans="1:2" x14ac:dyDescent="0.35">
      <c r="A81" s="4" t="s">
        <v>205</v>
      </c>
      <c r="B81">
        <v>1</v>
      </c>
    </row>
    <row r="82" spans="1:2" x14ac:dyDescent="0.35">
      <c r="A82" s="4" t="s">
        <v>187</v>
      </c>
      <c r="B82">
        <v>1</v>
      </c>
    </row>
    <row r="83" spans="1:2" x14ac:dyDescent="0.35">
      <c r="A83" s="4" t="s">
        <v>138</v>
      </c>
      <c r="B83">
        <v>1</v>
      </c>
    </row>
    <row r="84" spans="1:2" x14ac:dyDescent="0.35">
      <c r="A84" s="4" t="s">
        <v>202</v>
      </c>
      <c r="B84">
        <v>1</v>
      </c>
    </row>
    <row r="85" spans="1:2" x14ac:dyDescent="0.35">
      <c r="A85" s="4" t="s">
        <v>193</v>
      </c>
      <c r="B85">
        <v>1</v>
      </c>
    </row>
    <row r="86" spans="1:2" x14ac:dyDescent="0.35">
      <c r="A86" s="4" t="s">
        <v>136</v>
      </c>
      <c r="B86">
        <v>1</v>
      </c>
    </row>
    <row r="87" spans="1:2" x14ac:dyDescent="0.35">
      <c r="A87" s="4" t="s">
        <v>124</v>
      </c>
      <c r="B87">
        <v>1</v>
      </c>
    </row>
    <row r="88" spans="1:2" x14ac:dyDescent="0.35">
      <c r="A88" s="4" t="s">
        <v>156</v>
      </c>
      <c r="B88">
        <v>1</v>
      </c>
    </row>
    <row r="89" spans="1:2" x14ac:dyDescent="0.35">
      <c r="A89" s="4" t="s">
        <v>147</v>
      </c>
      <c r="B89">
        <v>1</v>
      </c>
    </row>
    <row r="90" spans="1:2" x14ac:dyDescent="0.35">
      <c r="A90" s="4" t="s">
        <v>22</v>
      </c>
      <c r="B90">
        <v>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AF31B-98A0-491A-854D-2D7D94338772}">
  <dimension ref="A1:A96"/>
  <sheetViews>
    <sheetView topLeftCell="A74" zoomScale="73" workbookViewId="0">
      <selection activeCell="H94" sqref="H94"/>
    </sheetView>
  </sheetViews>
  <sheetFormatPr defaultRowHeight="14.5" x14ac:dyDescent="0.35"/>
  <sheetData>
    <row r="1" spans="1:1" x14ac:dyDescent="0.35">
      <c r="A1" t="s">
        <v>119</v>
      </c>
    </row>
    <row r="2" spans="1:1" x14ac:dyDescent="0.35">
      <c r="A2" t="s">
        <v>120</v>
      </c>
    </row>
    <row r="3" spans="1:1" x14ac:dyDescent="0.35">
      <c r="A3" t="s">
        <v>121</v>
      </c>
    </row>
    <row r="4" spans="1:1" x14ac:dyDescent="0.35">
      <c r="A4" t="s">
        <v>122</v>
      </c>
    </row>
    <row r="5" spans="1:1" x14ac:dyDescent="0.35">
      <c r="A5" t="s">
        <v>123</v>
      </c>
    </row>
    <row r="6" spans="1:1" x14ac:dyDescent="0.35">
      <c r="A6" t="s">
        <v>124</v>
      </c>
    </row>
    <row r="7" spans="1:1" x14ac:dyDescent="0.35">
      <c r="A7" t="s">
        <v>125</v>
      </c>
    </row>
    <row r="8" spans="1:1" x14ac:dyDescent="0.35">
      <c r="A8" t="s">
        <v>126</v>
      </c>
    </row>
    <row r="9" spans="1:1" x14ac:dyDescent="0.35">
      <c r="A9" t="s">
        <v>127</v>
      </c>
    </row>
    <row r="10" spans="1:1" x14ac:dyDescent="0.35">
      <c r="A10" t="s">
        <v>128</v>
      </c>
    </row>
    <row r="11" spans="1:1" x14ac:dyDescent="0.35">
      <c r="A11" t="s">
        <v>129</v>
      </c>
    </row>
    <row r="12" spans="1:1" x14ac:dyDescent="0.35">
      <c r="A12" t="s">
        <v>130</v>
      </c>
    </row>
    <row r="13" spans="1:1" x14ac:dyDescent="0.35">
      <c r="A13" t="s">
        <v>131</v>
      </c>
    </row>
    <row r="14" spans="1:1" x14ac:dyDescent="0.35">
      <c r="A14" t="s">
        <v>132</v>
      </c>
    </row>
    <row r="15" spans="1:1" x14ac:dyDescent="0.35">
      <c r="A15" t="s">
        <v>133</v>
      </c>
    </row>
    <row r="16" spans="1:1" x14ac:dyDescent="0.35">
      <c r="A16" t="s">
        <v>134</v>
      </c>
    </row>
    <row r="17" spans="1:1" x14ac:dyDescent="0.35">
      <c r="A17" t="s">
        <v>135</v>
      </c>
    </row>
    <row r="18" spans="1:1" x14ac:dyDescent="0.35">
      <c r="A18" t="s">
        <v>136</v>
      </c>
    </row>
    <row r="19" spans="1:1" x14ac:dyDescent="0.35">
      <c r="A19" t="s">
        <v>137</v>
      </c>
    </row>
    <row r="20" spans="1:1" x14ac:dyDescent="0.35">
      <c r="A20" t="s">
        <v>138</v>
      </c>
    </row>
    <row r="21" spans="1:1" x14ac:dyDescent="0.35">
      <c r="A21" t="s">
        <v>139</v>
      </c>
    </row>
    <row r="22" spans="1:1" x14ac:dyDescent="0.35">
      <c r="A22" t="s">
        <v>140</v>
      </c>
    </row>
    <row r="23" spans="1:1" x14ac:dyDescent="0.35">
      <c r="A23" t="s">
        <v>141</v>
      </c>
    </row>
    <row r="24" spans="1:1" x14ac:dyDescent="0.35">
      <c r="A24" t="s">
        <v>142</v>
      </c>
    </row>
    <row r="25" spans="1:1" x14ac:dyDescent="0.35">
      <c r="A25" t="s">
        <v>143</v>
      </c>
    </row>
    <row r="26" spans="1:1" x14ac:dyDescent="0.35">
      <c r="A26" t="s">
        <v>144</v>
      </c>
    </row>
    <row r="27" spans="1:1" x14ac:dyDescent="0.35">
      <c r="A27" t="s">
        <v>145</v>
      </c>
    </row>
    <row r="28" spans="1:1" x14ac:dyDescent="0.35">
      <c r="A28" t="s">
        <v>146</v>
      </c>
    </row>
    <row r="29" spans="1:1" x14ac:dyDescent="0.35">
      <c r="A29" t="s">
        <v>147</v>
      </c>
    </row>
    <row r="30" spans="1:1" x14ac:dyDescent="0.35">
      <c r="A30" t="s">
        <v>148</v>
      </c>
    </row>
    <row r="31" spans="1:1" x14ac:dyDescent="0.35">
      <c r="A31" t="s">
        <v>149</v>
      </c>
    </row>
    <row r="32" spans="1:1" x14ac:dyDescent="0.35">
      <c r="A32" t="s">
        <v>150</v>
      </c>
    </row>
    <row r="33" spans="1:1" x14ac:dyDescent="0.35">
      <c r="A33" t="s">
        <v>151</v>
      </c>
    </row>
    <row r="34" spans="1:1" x14ac:dyDescent="0.35">
      <c r="A34" t="s">
        <v>152</v>
      </c>
    </row>
    <row r="35" spans="1:1" x14ac:dyDescent="0.35">
      <c r="A35" t="s">
        <v>153</v>
      </c>
    </row>
    <row r="36" spans="1:1" x14ac:dyDescent="0.35">
      <c r="A36" t="s">
        <v>154</v>
      </c>
    </row>
    <row r="37" spans="1:1" x14ac:dyDescent="0.35">
      <c r="A37" t="s">
        <v>155</v>
      </c>
    </row>
    <row r="38" spans="1:1" x14ac:dyDescent="0.35">
      <c r="A38" t="s">
        <v>156</v>
      </c>
    </row>
    <row r="39" spans="1:1" x14ac:dyDescent="0.35">
      <c r="A39" t="s">
        <v>157</v>
      </c>
    </row>
    <row r="40" spans="1:1" x14ac:dyDescent="0.35">
      <c r="A40" t="s">
        <v>158</v>
      </c>
    </row>
    <row r="41" spans="1:1" x14ac:dyDescent="0.35">
      <c r="A41" t="s">
        <v>159</v>
      </c>
    </row>
    <row r="42" spans="1:1" x14ac:dyDescent="0.35">
      <c r="A42" t="s">
        <v>160</v>
      </c>
    </row>
    <row r="43" spans="1:1" x14ac:dyDescent="0.35">
      <c r="A43" t="s">
        <v>161</v>
      </c>
    </row>
    <row r="44" spans="1:1" x14ac:dyDescent="0.35">
      <c r="A44" t="s">
        <v>162</v>
      </c>
    </row>
    <row r="45" spans="1:1" x14ac:dyDescent="0.35">
      <c r="A45" t="s">
        <v>149</v>
      </c>
    </row>
    <row r="46" spans="1:1" x14ac:dyDescent="0.35">
      <c r="A46" t="s">
        <v>163</v>
      </c>
    </row>
    <row r="47" spans="1:1" x14ac:dyDescent="0.35">
      <c r="A47" t="s">
        <v>149</v>
      </c>
    </row>
    <row r="48" spans="1:1" x14ac:dyDescent="0.35">
      <c r="A48" t="s">
        <v>159</v>
      </c>
    </row>
    <row r="49" spans="1:1" x14ac:dyDescent="0.35">
      <c r="A49" t="s">
        <v>164</v>
      </c>
    </row>
    <row r="50" spans="1:1" x14ac:dyDescent="0.35">
      <c r="A50" t="s">
        <v>165</v>
      </c>
    </row>
    <row r="51" spans="1:1" x14ac:dyDescent="0.35">
      <c r="A51" t="s">
        <v>166</v>
      </c>
    </row>
    <row r="52" spans="1:1" x14ac:dyDescent="0.35">
      <c r="A52" t="s">
        <v>167</v>
      </c>
    </row>
    <row r="53" spans="1:1" x14ac:dyDescent="0.35">
      <c r="A53" t="s">
        <v>168</v>
      </c>
    </row>
    <row r="54" spans="1:1" x14ac:dyDescent="0.35">
      <c r="A54" t="s">
        <v>169</v>
      </c>
    </row>
    <row r="55" spans="1:1" x14ac:dyDescent="0.35">
      <c r="A55" t="s">
        <v>170</v>
      </c>
    </row>
    <row r="56" spans="1:1" x14ac:dyDescent="0.35">
      <c r="A56" t="s">
        <v>171</v>
      </c>
    </row>
    <row r="57" spans="1:1" x14ac:dyDescent="0.35">
      <c r="A57" t="s">
        <v>172</v>
      </c>
    </row>
    <row r="58" spans="1:1" x14ac:dyDescent="0.35">
      <c r="A58" t="s">
        <v>173</v>
      </c>
    </row>
    <row r="59" spans="1:1" x14ac:dyDescent="0.35">
      <c r="A59" t="s">
        <v>174</v>
      </c>
    </row>
    <row r="60" spans="1:1" x14ac:dyDescent="0.35">
      <c r="A60" t="s">
        <v>175</v>
      </c>
    </row>
    <row r="61" spans="1:1" x14ac:dyDescent="0.35">
      <c r="A61" t="s">
        <v>176</v>
      </c>
    </row>
    <row r="62" spans="1:1" x14ac:dyDescent="0.35">
      <c r="A62" t="s">
        <v>177</v>
      </c>
    </row>
    <row r="63" spans="1:1" x14ac:dyDescent="0.35">
      <c r="A63" t="s">
        <v>178</v>
      </c>
    </row>
    <row r="64" spans="1:1" x14ac:dyDescent="0.35">
      <c r="A64" t="s">
        <v>179</v>
      </c>
    </row>
    <row r="65" spans="1:1" x14ac:dyDescent="0.35">
      <c r="A65" t="s">
        <v>180</v>
      </c>
    </row>
    <row r="66" spans="1:1" x14ac:dyDescent="0.35">
      <c r="A66" t="s">
        <v>181</v>
      </c>
    </row>
    <row r="67" spans="1:1" x14ac:dyDescent="0.35">
      <c r="A67" t="s">
        <v>182</v>
      </c>
    </row>
    <row r="68" spans="1:1" x14ac:dyDescent="0.35">
      <c r="A68" t="s">
        <v>183</v>
      </c>
    </row>
    <row r="69" spans="1:1" x14ac:dyDescent="0.35">
      <c r="A69" t="s">
        <v>184</v>
      </c>
    </row>
    <row r="70" spans="1:1" x14ac:dyDescent="0.35">
      <c r="A70" t="s">
        <v>185</v>
      </c>
    </row>
    <row r="71" spans="1:1" x14ac:dyDescent="0.35">
      <c r="A71" t="s">
        <v>186</v>
      </c>
    </row>
    <row r="72" spans="1:1" x14ac:dyDescent="0.35">
      <c r="A72" t="s">
        <v>187</v>
      </c>
    </row>
    <row r="73" spans="1:1" x14ac:dyDescent="0.35">
      <c r="A73" t="s">
        <v>188</v>
      </c>
    </row>
    <row r="74" spans="1:1" x14ac:dyDescent="0.35">
      <c r="A74" t="s">
        <v>189</v>
      </c>
    </row>
    <row r="75" spans="1:1" x14ac:dyDescent="0.35">
      <c r="A75" t="s">
        <v>190</v>
      </c>
    </row>
    <row r="76" spans="1:1" x14ac:dyDescent="0.35">
      <c r="A76" t="s">
        <v>191</v>
      </c>
    </row>
    <row r="77" spans="1:1" x14ac:dyDescent="0.35">
      <c r="A77" t="s">
        <v>174</v>
      </c>
    </row>
    <row r="78" spans="1:1" x14ac:dyDescent="0.35">
      <c r="A78" t="s">
        <v>192</v>
      </c>
    </row>
    <row r="79" spans="1:1" x14ac:dyDescent="0.35">
      <c r="A79" t="s">
        <v>193</v>
      </c>
    </row>
    <row r="80" spans="1:1" x14ac:dyDescent="0.35">
      <c r="A80" t="s">
        <v>194</v>
      </c>
    </row>
    <row r="81" spans="1:1" x14ac:dyDescent="0.35">
      <c r="A81" t="s">
        <v>195</v>
      </c>
    </row>
    <row r="82" spans="1:1" x14ac:dyDescent="0.35">
      <c r="A82" t="s">
        <v>129</v>
      </c>
    </row>
    <row r="83" spans="1:1" x14ac:dyDescent="0.35">
      <c r="A83" t="s">
        <v>196</v>
      </c>
    </row>
    <row r="84" spans="1:1" x14ac:dyDescent="0.35">
      <c r="A84" t="s">
        <v>197</v>
      </c>
    </row>
    <row r="85" spans="1:1" x14ac:dyDescent="0.35">
      <c r="A85" t="s">
        <v>181</v>
      </c>
    </row>
    <row r="86" spans="1:1" x14ac:dyDescent="0.35">
      <c r="A86" t="s">
        <v>198</v>
      </c>
    </row>
    <row r="87" spans="1:1" x14ac:dyDescent="0.35">
      <c r="A87" t="s">
        <v>199</v>
      </c>
    </row>
    <row r="88" spans="1:1" x14ac:dyDescent="0.35">
      <c r="A88" t="s">
        <v>178</v>
      </c>
    </row>
    <row r="89" spans="1:1" x14ac:dyDescent="0.35">
      <c r="A89" t="s">
        <v>200</v>
      </c>
    </row>
    <row r="90" spans="1:1" x14ac:dyDescent="0.35">
      <c r="A90" t="s">
        <v>201</v>
      </c>
    </row>
    <row r="91" spans="1:1" x14ac:dyDescent="0.35">
      <c r="A91" t="s">
        <v>202</v>
      </c>
    </row>
    <row r="92" spans="1:1" x14ac:dyDescent="0.35">
      <c r="A92" t="s">
        <v>201</v>
      </c>
    </row>
    <row r="93" spans="1:1" x14ac:dyDescent="0.35">
      <c r="A93" t="s">
        <v>203</v>
      </c>
    </row>
    <row r="94" spans="1:1" x14ac:dyDescent="0.35">
      <c r="A94" t="s">
        <v>174</v>
      </c>
    </row>
    <row r="95" spans="1:1" x14ac:dyDescent="0.35">
      <c r="A95" t="s">
        <v>204</v>
      </c>
    </row>
    <row r="96" spans="1:1" x14ac:dyDescent="0.35">
      <c r="A96" t="s">
        <v>205</v>
      </c>
    </row>
  </sheetData>
  <autoFilter ref="A1:A96" xr:uid="{ED6AF31B-98A0-491A-854D-2D7D9433877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53B9E454D5B3408BB9EBF0F308B1A4" ma:contentTypeVersion="8" ma:contentTypeDescription="Create a new document." ma:contentTypeScope="" ma:versionID="67359a3de2060227254b7ed3fdf6a698">
  <xsd:schema xmlns:xsd="http://www.w3.org/2001/XMLSchema" xmlns:xs="http://www.w3.org/2001/XMLSchema" xmlns:p="http://schemas.microsoft.com/office/2006/metadata/properties" xmlns:ns1="http://schemas.microsoft.com/sharepoint/v3" xmlns:ns3="be786e4a-d599-4f4d-be6d-6473df89760d" targetNamespace="http://schemas.microsoft.com/office/2006/metadata/properties" ma:root="true" ma:fieldsID="89b1ebe09f59e47b89a358608067dbc2" ns1:_="" ns3:_="">
    <xsd:import namespace="http://schemas.microsoft.com/sharepoint/v3"/>
    <xsd:import namespace="be786e4a-d599-4f4d-be6d-6473df89760d"/>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_activity"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786e4a-d599-4f4d-be6d-6473df8976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be786e4a-d599-4f4d-be6d-6473df89760d" xsi:nil="true"/>
    <_ip_UnifiedCompliancePolicyProperties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885009-922D-4CAC-9372-FE32B5845C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e786e4a-d599-4f4d-be6d-6473df8976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EFB8F2-56CC-4B5F-9677-3AC8A2AC5A54}">
  <ds:schemaRefs>
    <ds:schemaRef ds:uri="http://schemas.microsoft.com/DataMashup"/>
  </ds:schemaRefs>
</ds:datastoreItem>
</file>

<file path=customXml/itemProps3.xml><?xml version="1.0" encoding="utf-8"?>
<ds:datastoreItem xmlns:ds="http://schemas.openxmlformats.org/officeDocument/2006/customXml" ds:itemID="{AC771E49-C203-4C3C-BDD1-49D2B047F1C6}">
  <ds:schemaRefs>
    <ds:schemaRef ds:uri="http://purl.org/dc/terms/"/>
    <ds:schemaRef ds:uri="http://schemas.microsoft.com/sharepoint/v3"/>
    <ds:schemaRef ds:uri="http://schemas.microsoft.com/office/infopath/2007/PartnerControls"/>
    <ds:schemaRef ds:uri="http://schemas.microsoft.com/office/2006/documentManagement/types"/>
    <ds:schemaRef ds:uri="http://www.w3.org/XML/1998/namespace"/>
    <ds:schemaRef ds:uri="http://purl.org/dc/elements/1.1/"/>
    <ds:schemaRef ds:uri="http://schemas.openxmlformats.org/package/2006/metadata/core-properties"/>
    <ds:schemaRef ds:uri="be786e4a-d599-4f4d-be6d-6473df89760d"/>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107C93D2-C89D-44EF-8AAE-52E7998B93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Seasonality_Pattern</vt:lpstr>
      <vt:lpstr>Quantitative</vt:lpstr>
      <vt:lpstr>Classification_model</vt:lpstr>
      <vt:lpstr>Seasonality Pattern-Quantitativ</vt:lpstr>
      <vt:lpstr>US Travel destination-Qualitati</vt:lpstr>
      <vt:lpstr>Word Frequency Analysis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SUVECHHYA.GURUNG</cp:lastModifiedBy>
  <dcterms:created xsi:type="dcterms:W3CDTF">2025-12-09T00:25:23Z</dcterms:created>
  <dcterms:modified xsi:type="dcterms:W3CDTF">2025-12-09T06:21:11Z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0x0101007653B9E454D5B3408BB9EBF0F308B1A4</vt:lpwstr>
  </property>
</Properties>
</file>